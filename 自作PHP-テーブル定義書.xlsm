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hosoya/Desktop/自作PHP/"/>
    </mc:Choice>
  </mc:AlternateContent>
  <xr:revisionPtr revIDLastSave="0" documentId="13_ncr:1_{73114A38-F09A-D749-ADD0-B5DB232A92C8}" xr6:coauthVersionLast="47" xr6:coauthVersionMax="47" xr10:uidLastSave="{00000000-0000-0000-0000-000000000000}"/>
  <bookViews>
    <workbookView xWindow="6660" yWindow="-18000" windowWidth="32000" windowHeight="18000" activeTab="5" xr2:uid="{661EB086-96B1-A64D-AD4B-A5CB73A5A516}"/>
  </bookViews>
  <sheets>
    <sheet name="仕様" sheetId="1" r:id="rId1"/>
    <sheet name="型" sheetId="4" r:id="rId2"/>
    <sheet name="Charset" sheetId="9" state="veryHidden" r:id="rId3"/>
    <sheet name="Define" sheetId="8" state="veryHidden" r:id="rId4"/>
    <sheet name="例" sheetId="7" r:id="rId5"/>
    <sheet name="users" sheetId="11" r:id="rId6"/>
    <sheet name="store_reviews" sheetId="12" r:id="rId7"/>
    <sheet name="experience" sheetId="13" r:id="rId8"/>
    <sheet name="Template" sheetId="10" r:id="rId9"/>
  </sheets>
  <functionGroups builtInGroupCount="19"/>
  <definedNames>
    <definedName name="_xlnm._FilterDatabase" localSheetId="1" hidden="1">型!$A$8:$J$43</definedName>
    <definedName name="Charset_List">Define!$J$10:$J$50</definedName>
    <definedName name="DataTypeCategory">Define!$A$10:$A$12</definedName>
    <definedName name="ENGINE">Define!$G$10:$G$12</definedName>
    <definedName name="MySQL_Ver">Define!$A$15:$A$20</definedName>
    <definedName name="数値型">Define!$C$10:$C$19</definedName>
    <definedName name="日付・時間型">Define!$D$10:$D$14</definedName>
    <definedName name="文字列型">Define!$E$10:$E$16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 i="13" l="1"/>
  <c r="B1" i="12"/>
  <c r="B1" i="11"/>
  <c r="B1" i="10"/>
  <c r="F3" i="4" l="1"/>
  <c r="F2" i="4"/>
  <c r="F1" i="4" s="1"/>
  <c r="B6" i="1"/>
  <c r="B7" i="1"/>
  <c r="B8" i="1"/>
  <c r="B9" i="1"/>
  <c r="B10" i="1"/>
  <c r="B11" i="1"/>
  <c r="B12" i="1"/>
  <c r="B13" i="1"/>
  <c r="B5" i="1"/>
  <c r="G2" i="4" l="1"/>
  <c r="B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yoko watanabe</author>
  </authors>
  <commentList>
    <comment ref="H11" authorId="0" shapeId="0" xr:uid="{C2DB2759-673A-E44A-A40E-0C0E627156AA}">
      <text>
        <r>
          <rPr>
            <sz val="10"/>
            <color rgb="FF000000"/>
            <rFont val="Meiryo UI"/>
            <family val="2"/>
            <charset val="128"/>
          </rPr>
          <t>データ型の</t>
        </r>
        <r>
          <rPr>
            <sz val="10"/>
            <color rgb="FF000000"/>
            <rFont val="Meiryo UI"/>
            <family val="2"/>
            <charset val="128"/>
          </rPr>
          <t>(M)</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※(M)</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 ref="I11" authorId="0" shapeId="0" xr:uid="{19D2F2B8-2E8E-FE4D-8E30-67E5C22A8516}">
      <text>
        <r>
          <rPr>
            <sz val="10"/>
            <color rgb="FF000000"/>
            <rFont val="Meiryo UI"/>
            <family val="2"/>
            <charset val="128"/>
          </rPr>
          <t>データ型の</t>
        </r>
        <r>
          <rPr>
            <sz val="10"/>
            <color rgb="FF000000"/>
            <rFont val="Meiryo UI"/>
            <family val="2"/>
            <charset val="128"/>
          </rPr>
          <t>(D)</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※(D)</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yoko watanabe</author>
  </authors>
  <commentList>
    <comment ref="B11" authorId="0" shapeId="0" xr:uid="{6AFD5893-02E9-3240-97E2-35A8932101A1}">
      <text>
        <r>
          <rPr>
            <sz val="10"/>
            <color rgb="FF000000"/>
            <rFont val="Yu Gothic UI"/>
          </rPr>
          <t>入力不要です。自動で設定されます</t>
        </r>
      </text>
    </comment>
    <comment ref="H11" authorId="0" shapeId="0" xr:uid="{D05921E9-DE7A-AA44-8209-B446BFD7637A}">
      <text>
        <r>
          <rPr>
            <sz val="10"/>
            <color rgb="FF000000"/>
            <rFont val="Meiryo UI"/>
            <family val="2"/>
            <charset val="128"/>
          </rPr>
          <t>データ型の</t>
        </r>
        <r>
          <rPr>
            <sz val="10"/>
            <color rgb="FF000000"/>
            <rFont val="Meiryo UI"/>
            <family val="2"/>
            <charset val="128"/>
          </rPr>
          <t>(M)</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※(M)</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 ref="I11" authorId="0" shapeId="0" xr:uid="{71066FDF-8009-0040-A727-D7442A40306B}">
      <text>
        <r>
          <rPr>
            <sz val="10"/>
            <color rgb="FF000000"/>
            <rFont val="Meiryo UI"/>
            <family val="2"/>
            <charset val="128"/>
          </rPr>
          <t>データ型の</t>
        </r>
        <r>
          <rPr>
            <sz val="10"/>
            <color rgb="FF000000"/>
            <rFont val="Meiryo UI"/>
            <family val="2"/>
            <charset val="128"/>
          </rPr>
          <t>(D)</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※(D)</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yoko watanabe</author>
  </authors>
  <commentList>
    <comment ref="B11" authorId="0" shapeId="0" xr:uid="{C205D713-8D21-9145-8B75-25B66AE20D83}">
      <text>
        <r>
          <rPr>
            <sz val="10"/>
            <color rgb="FF000000"/>
            <rFont val="Yu Gothic UI"/>
          </rPr>
          <t>入力不要です。自動で設定されます</t>
        </r>
      </text>
    </comment>
    <comment ref="H11" authorId="0" shapeId="0" xr:uid="{D8E5DF64-96B2-1F4C-B0F0-11525052E9AB}">
      <text>
        <r>
          <rPr>
            <sz val="10"/>
            <color rgb="FF000000"/>
            <rFont val="Meiryo UI"/>
            <family val="2"/>
            <charset val="128"/>
          </rPr>
          <t>データ型の</t>
        </r>
        <r>
          <rPr>
            <sz val="10"/>
            <color rgb="FF000000"/>
            <rFont val="Meiryo UI"/>
            <family val="2"/>
            <charset val="128"/>
          </rPr>
          <t>(M)</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※(M)</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 ref="I11" authorId="0" shapeId="0" xr:uid="{D27B0DF5-3DA0-6E47-ABEF-111D55408282}">
      <text>
        <r>
          <rPr>
            <sz val="10"/>
            <color rgb="FF000000"/>
            <rFont val="Meiryo UI"/>
            <family val="2"/>
            <charset val="128"/>
          </rPr>
          <t>データ型の</t>
        </r>
        <r>
          <rPr>
            <sz val="10"/>
            <color rgb="FF000000"/>
            <rFont val="Meiryo UI"/>
            <family val="2"/>
            <charset val="128"/>
          </rPr>
          <t>(D)</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※(D)</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yoko watanabe</author>
  </authors>
  <commentList>
    <comment ref="B11" authorId="0" shapeId="0" xr:uid="{99C1F4B9-15DB-2349-95EE-71D931895A5D}">
      <text>
        <r>
          <rPr>
            <sz val="10"/>
            <color rgb="FF000000"/>
            <rFont val="Yu Gothic UI"/>
          </rPr>
          <t>入力不要です。自動で設定されます</t>
        </r>
      </text>
    </comment>
    <comment ref="H11" authorId="0" shapeId="0" xr:uid="{6E6B27EA-B553-A640-9D8D-4F534F2FBA4D}">
      <text>
        <r>
          <rPr>
            <sz val="10"/>
            <color rgb="FF000000"/>
            <rFont val="Meiryo UI"/>
            <family val="2"/>
            <charset val="128"/>
          </rPr>
          <t>データ型の</t>
        </r>
        <r>
          <rPr>
            <sz val="10"/>
            <color rgb="FF000000"/>
            <rFont val="Meiryo UI"/>
            <family val="2"/>
            <charset val="128"/>
          </rPr>
          <t>(M)</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※(M)</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 ref="I11" authorId="0" shapeId="0" xr:uid="{0A256E10-6422-AD46-AE4D-E6681DCCBF9D}">
      <text>
        <r>
          <rPr>
            <sz val="10"/>
            <color rgb="FF000000"/>
            <rFont val="Meiryo UI"/>
            <family val="2"/>
            <charset val="128"/>
          </rPr>
          <t>データ型の</t>
        </r>
        <r>
          <rPr>
            <sz val="10"/>
            <color rgb="FF000000"/>
            <rFont val="Meiryo UI"/>
            <family val="2"/>
            <charset val="128"/>
          </rPr>
          <t>(D)</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※(D)</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yoko watanabe</author>
  </authors>
  <commentList>
    <comment ref="B11" authorId="0" shapeId="0" xr:uid="{1616F2FD-20EF-1846-8468-793373730A66}">
      <text>
        <r>
          <rPr>
            <sz val="10"/>
            <color rgb="FF000000"/>
            <rFont val="Yu Gothic UI"/>
          </rPr>
          <t>入力不要です。自動で設定されます</t>
        </r>
      </text>
    </comment>
    <comment ref="H11" authorId="0" shapeId="0" xr:uid="{5EA64C2D-098E-9A45-A01F-74C6B0D006C2}">
      <text>
        <r>
          <rPr>
            <sz val="10"/>
            <color rgb="FF000000"/>
            <rFont val="Meiryo UI"/>
            <family val="2"/>
            <charset val="128"/>
          </rPr>
          <t>データ型の</t>
        </r>
        <r>
          <rPr>
            <sz val="10"/>
            <color rgb="FF000000"/>
            <rFont val="Meiryo UI"/>
            <family val="2"/>
            <charset val="128"/>
          </rPr>
          <t>(M)</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※(M)</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 ref="I11" authorId="0" shapeId="0" xr:uid="{87F04F72-82DF-CC43-9972-750C41AD0DF3}">
      <text>
        <r>
          <rPr>
            <sz val="10"/>
            <color rgb="FF000000"/>
            <rFont val="Meiryo UI"/>
            <family val="2"/>
            <charset val="128"/>
          </rPr>
          <t>データ型の</t>
        </r>
        <r>
          <rPr>
            <sz val="10"/>
            <color rgb="FF000000"/>
            <rFont val="Meiryo UI"/>
            <family val="2"/>
            <charset val="128"/>
          </rPr>
          <t>(D)</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※(D)</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List>
</comments>
</file>

<file path=xl/sharedStrings.xml><?xml version="1.0" encoding="utf-8"?>
<sst xmlns="http://schemas.openxmlformats.org/spreadsheetml/2006/main" count="1165" uniqueCount="658">
  <si>
    <t>Excel</t>
    <phoneticPr fontId="1"/>
  </si>
  <si>
    <t>ツール改版履歴</t>
  </si>
  <si>
    <t>版</t>
  </si>
  <si>
    <t>更新日</t>
  </si>
  <si>
    <t>更新者</t>
  </si>
  <si>
    <t>更新内容</t>
  </si>
  <si>
    <t>No</t>
    <phoneticPr fontId="1"/>
  </si>
  <si>
    <t>作成者</t>
    <phoneticPr fontId="1"/>
  </si>
  <si>
    <t>M は整数型の最大表示幅を示します。最大表示幅は 255 です。セクション11.2「数値型」で説明しているように、表示幅はその型に含めることができる値の範囲とは関係ありません。浮動小数点型と固定小数点型の場合、M は格納可能な桁数の合計です。</t>
  </si>
  <si>
    <t>数値カラムに対して ZEROFILL を指定すると、MySQL は自動的にそのカラムに UNSIGNED 属性を追加します。</t>
  </si>
  <si>
    <t>UNSIGNED 属性を許可している数値データ型は、SIGNED も許可します。ただし、このデータ型はデフォルトで符号付きになっているため、SIGNED 属性を指定しても効果はありません。</t>
  </si>
  <si>
    <t>SERIAL は BIGINT UNSIGNED NOT NULL AUTO_INCREMENT UNIQUE のエイリアスです。</t>
  </si>
  <si>
    <t>整数カラム定義の中の SERIAL DEFAULT VALUE は NOT NULL AUTO_INCREMENT UNIQUE のエイリアスです。</t>
  </si>
  <si>
    <t>型</t>
  </si>
  <si>
    <t>型（表示名）</t>
  </si>
  <si>
    <t>説明</t>
  </si>
  <si>
    <t>数値型</t>
  </si>
  <si>
    <t>○</t>
    <phoneticPr fontId="1"/>
  </si>
  <si>
    <r>
      <t>BIT[(</t>
    </r>
    <r>
      <rPr>
        <b/>
        <i/>
        <sz val="12"/>
        <color rgb="FF000000"/>
        <rFont val="メイリオ"/>
        <family val="2"/>
        <charset val="128"/>
      </rPr>
      <t>M</t>
    </r>
    <r>
      <rPr>
        <sz val="13"/>
        <color rgb="FF000000"/>
        <rFont val="メイリオ"/>
        <family val="2"/>
        <charset val="128"/>
      </rPr>
      <t>)]</t>
    </r>
  </si>
  <si>
    <t>BOOLEAN</t>
    <phoneticPr fontId="1"/>
  </si>
  <si>
    <t>これらの型は TINYINT(1) のシノニムです。ゼロの値は false と見なされます。ゼロ以外の値は true と見なされます。ただし、ここに示されているように、TRUE 値と FALSE 値はそれぞれ、1 と 0 の単なるエイリアスです。</t>
    <phoneticPr fontId="1"/>
  </si>
  <si>
    <t>INT[(M)]</t>
    <phoneticPr fontId="1"/>
  </si>
  <si>
    <t>ー</t>
    <phoneticPr fontId="1"/>
  </si>
  <si>
    <r>
      <t>INTEGER[(</t>
    </r>
    <r>
      <rPr>
        <b/>
        <i/>
        <sz val="12"/>
        <color rgb="FF000000"/>
        <rFont val="メイリオ"/>
        <family val="2"/>
        <charset val="128"/>
      </rPr>
      <t>M</t>
    </r>
    <r>
      <rPr>
        <sz val="13"/>
        <color rgb="FF000000"/>
        <rFont val="メイリオ"/>
        <family val="2"/>
        <charset val="128"/>
      </rPr>
      <t>)] [UNSIGNED] [ZEROFILL]</t>
    </r>
  </si>
  <si>
    <t>DEC[(M[,D])] [UNSIGNED] [ZEROFILL]
, NUMERIC[(M[,D])] [UNSIGNED] [ZEROFILL]
, FIXED[(M[,D])] [UNSIGNED] [ZEROFILL]</t>
    <phoneticPr fontId="1"/>
  </si>
  <si>
    <t>これらの型は DECIMAL のシノニムです。FIXED シノニムは、ほかのデータベースシステムとの互換性のために使用できます。</t>
    <phoneticPr fontId="1"/>
  </si>
  <si>
    <r>
      <t>FLOAT[(</t>
    </r>
    <r>
      <rPr>
        <b/>
        <i/>
        <sz val="12"/>
        <color rgb="FF000000"/>
        <rFont val="メイリオ"/>
        <family val="2"/>
        <charset val="128"/>
      </rPr>
      <t>M</t>
    </r>
    <r>
      <rPr>
        <sz val="13"/>
        <color rgb="FF000000"/>
        <rFont val="メイリオ"/>
        <family val="2"/>
        <charset val="128"/>
      </rPr>
      <t>,</t>
    </r>
    <r>
      <rPr>
        <b/>
        <i/>
        <sz val="12"/>
        <color rgb="FF000000"/>
        <rFont val="メイリオ"/>
        <family val="2"/>
        <charset val="128"/>
      </rPr>
      <t>D</t>
    </r>
    <r>
      <rPr>
        <sz val="13"/>
        <color rgb="FF000000"/>
        <rFont val="メイリオ"/>
        <family val="2"/>
        <charset val="128"/>
      </rPr>
      <t>)] [UNSIGNED] [ZEROFILL]</t>
    </r>
  </si>
  <si>
    <r>
      <t xml:space="preserve">小さい (単精度) 浮動小数点数。許可される値は、-3.402823466E+38 から -1.175494351E-38、0、および 1.175494351E-38 から 3.402823466E+38 です。これらは、IEEE スタンダードに基づいた理論的な限度です。使用しているハードウェアまたはオペレーティングシステムによっては、実際の範囲は少し小さくなる場合があります。
M は桁数の合計で、D は小数点以下の桁数です。M と D を省略した場合、値はハードウェアで許可された限度まで格納されます。単精度小数点数はおおよそ小数第 7 位まで正確です。
UNSIGNED が指定されている場合、負の値は許可されません。
</t>
    </r>
    <r>
      <rPr>
        <b/>
        <sz val="12"/>
        <color rgb="FFFF0000"/>
        <rFont val="メイリオ"/>
        <family val="2"/>
        <charset val="128"/>
      </rPr>
      <t>MySQL ではすべての計算が倍精度で行われているので、FLOAT を使用すると、予想外の問題が起きることがあります。セクションB.5.5.7「一致する行がない場合の問題の解決」を参照してください。</t>
    </r>
    <phoneticPr fontId="1"/>
  </si>
  <si>
    <t>DOUBLE PRECISION[(M,D)] [UNSIGNED] [ZEROFILL], REAL[(M,D)] [UNSIGNED] [ZEROFILL]</t>
    <phoneticPr fontId="1"/>
  </si>
  <si>
    <t>これらの型は DOUBLE のシノニムです。例外: REAL_AS_FLOAT SQL モードが有効な場合は、DOUBLE ではなく REAL が FLOAT のシノニムになります。</t>
    <phoneticPr fontId="1"/>
  </si>
  <si>
    <t>FLOAT(p) [UNSIGNED] [ZEROFILL]</t>
  </si>
  <si>
    <r>
      <t xml:space="preserve">浮動小数点数です。p は精度をビットで表現しますが、MySQL は、結果として得られるデータ型に対して FLOAT または DOUBLE のどちらを使用するかを決めるためだけにこの値を使用します。p が 0 から 24 のとき、そのデータ型は M 値も D 値もない FLOAT になります。p が 25 から 53 のとき、そのデータ型は M 値も D 値もない DOUBLE になります。結果となるカラムの範囲は、このセクションで前述した単精度 FLOAT または倍精度 DOUBLE データ型の場合と同じです。
</t>
    </r>
    <r>
      <rPr>
        <b/>
        <sz val="12"/>
        <color rgb="FFFF0000"/>
        <rFont val="メイリオ"/>
        <family val="2"/>
        <charset val="128"/>
      </rPr>
      <t>FLOAT(p) 構文は ODBC との互換性を確保するために用意されています。</t>
    </r>
    <phoneticPr fontId="1"/>
  </si>
  <si>
    <t>DATE</t>
  </si>
  <si>
    <t>日付と時間の組み合わせです。サポートしている範囲は '1000-01-01 00:00:00.000000' から '9999-12-31 23:59:59.999999' です。MySQL は、'YYYY-MM-DD HH:MM:SS[.fraction]' の形式で DATETIME 値を表示しますが、文字列または数値のどちらかを使用した DATETIME カラムへの値の割り当てを許可しています。
MySQL 5.6.4 以降では、小数秒の精度を指定するために 0 から 6 の範囲でオプションの fsp 値を指定できます。0 の値は、小数部がないことを表します。省略した場合、デフォルトの精度は 0 です。
MySQL 5.6.5 以降、DATETIME カラムに対する自動初期化および現在の日時への自動更新は、セクション11.3.5「TIMESTAMP および DATETIME の自動初期化および更新機能」で説明しているように、DEFAULT および ON UPDATE カラム定義句を使用して指定できます。</t>
    <phoneticPr fontId="1"/>
  </si>
  <si>
    <r>
      <t>TIMESTAMP[(</t>
    </r>
    <r>
      <rPr>
        <b/>
        <i/>
        <sz val="12"/>
        <color rgb="FF000000"/>
        <rFont val="メイリオ"/>
        <family val="2"/>
        <charset val="128"/>
      </rPr>
      <t>fsp</t>
    </r>
    <r>
      <rPr>
        <sz val="13"/>
        <color rgb="FF000000"/>
        <rFont val="メイリオ"/>
        <family val="2"/>
        <charset val="128"/>
      </rPr>
      <t>)]</t>
    </r>
    <phoneticPr fontId="1"/>
  </si>
  <si>
    <t>タイムスタンプです。範囲は '1970-01-01 00:00:01.000000' UTC から '2038-01-19 03:14:07.999999' UTC です。TIMESTAMP 値は、エポック ('1970-01-01 00:00:00' UTC) からの秒数として格納されます。TIMESTAMP は、'1970-01-01 00:00:00' という値を表すことはできません。これは、エポックからの秒数が 0 であることと同等で、0 という値は '0000-00-00 00:00:00'、つまり「ゼロ」の TIMESTAMP 値を表すために予約されているからです。
MySQL 5.6.4 以降では、小数秒の精度を指定するために 0 から 6 の範囲でオプションの fsp 値を指定できます。0 の値は、小数部がないことを表します。省略した場合、デフォルトの精度は 0 です。
サーバーで TIMESTAMP 定義をどのように扱うかは、explicit_defaults_for_timestamp システム変数の値によって異なります (セクション5.1.4「サーバーシステム変数」を参照してください)。デフォルトでは、explicit_defaults_for_timestamp は無効であり、サーバーは次のように TIMESTAMP を扱います。
特に指定されていないかぎり、テーブル内の最初の TIMESTAMP カラムは、明示的に値が割り当てられていなければもっとも新しい変更の日時に自動的に設定されるように定義されています。これにより、TIMESTAMP は、INSERT または UPDATE 操作のタイムスタンプの記録に役立ちます。NULL 値を許可するように NULL 属性で定義されていないかぎり、NULL 値を割り当てることによって、すべての TIMESTAMP カラムを現在の日付と時間に設定することもできます。
自動初期化および現在の日付と時間への自動更新は、DEFAULT CURRENT_TIMESTAMP および ON UPDATE CURRENT_TIMESTAMP カラム定義句を使用して指定できます。デフォルトでは、前述のように最初の TIMESTAMP カラムにこれらのプロパティーが含まれます。MySQL 5.6.5 以降では、テーブル内のどの TIMESTAMP カラムでもこれらのプロパティーを割り当てるように定義できます。5.6.5 より前では、これらを割り当てられる TIMESTAMP カラムはテーブルごとに最大 1 つにかぎられますが、最初のカラムでは抑制し、代わりに別の TIMESTAMP カラムに割り当てることが可能です。セクション11.3.5「TIMESTAMP および DATETIME の自動初期化および更新機能」を参照してください。
explicit_defaults_for_timestamp が有効な場合、すべての TIMESTAMP カラムへの DEFAULT CURRENT_TIMESTAMP または ON UPDATE CURRENT_TIMESTAMP 属性の自動的な割り当ては行われません。これらはカラム定義に明示的に含める必要があります。また、NOT NULL として明示的に宣言されていないすべての TIMESTAMP は、NULL 値を許可します。
explicit_defaults_for_timestamp は、MySQL 5.6.6 以降で使用できます。5.6.6 より前では、サーバーは、explicit_defaults_for_timestamp が無効の場合について説明したように TIMESTAMP を扱います。これらの動作は、デフォルトのままになっていますが、標準外であり、5.6.6 以降では非推奨です。explicit_defaults_for_timestamp を有効化したインストールのアップグレードに関する説明については、セクション2.11.1.3「MySQL 5.5 から 5.6 へのアップグレード」を参照してください。</t>
    <phoneticPr fontId="1"/>
  </si>
  <si>
    <t>TIME[(fsp)]</t>
    <phoneticPr fontId="1"/>
  </si>
  <si>
    <t>時間です。範囲は、'-838:59:59.000000' から '838:59:59.000000' です。MySQL は、'HH:MM:SS[.fraction]' 形式で TIME 値を表示しますが、文字列または数値のどちらかを使用した TIME カラムの値への割り当てを許可します。
MySQL 5.6.4 以降では、小数秒の精度を指定するために 0 から 6 の範囲でオプションの fsp 値を指定できます。0 の値は、小数部がないことを表します。省略した場合、デフォルトの精度は 0 です。</t>
    <phoneticPr fontId="1"/>
  </si>
  <si>
    <t>YEAR[(4)]</t>
    <phoneticPr fontId="1"/>
  </si>
  <si>
    <t>2 桁または 4 桁の形式の年です。デフォルトは 4 桁の形式です。YEAR(2) と YEAR(4) は表示形式が違いますが、値の範囲は同じです。4 桁の形式では、値は 1901 から 2155 と 0000 として表示されます。2 桁の形式では、値は 70 から 69 として表示され、1970 から 2069 の年を表します。MySQL では、YEAR 値は YYYY または YY の形式で表示されますが、文字列または数値を使用して YEAR カラムに値を割り当てられます。</t>
    <phoneticPr fontId="1"/>
  </si>
  <si>
    <t>YEAR[(2)]</t>
    <phoneticPr fontId="1"/>
  </si>
  <si>
    <t>文字列型</t>
  </si>
  <si>
    <t>格納時に必ず、指定された長さになるように右側がスペースで埋められる固定長文字列です。M はカラムの長さを文字数で表します。M の範囲は 0 から 255 です。M を省略すると、長さは 1 になります。</t>
    <phoneticPr fontId="1"/>
  </si>
  <si>
    <t xml:space="preserve">可変長文字列です。M はカラムの最大長を文字数で表します。M の範囲は 0 から 65,535 です。VARCHAR の有効な最大長は、最大行サイズ (65,535 バイト、すべてのカラムで共有されます) と使用される文字セットによって決まります。たとえば、utf8 の文字は 1 文字につき最大 3 バイトを必要とする場合があるため、utf8 の文字セットを使用する VARCHAR カラムは、最大 21,844 文字になるように宣言できます。セクションD.10.4「テーブルカラム数と行サイズの制限」を参照してください。
MySQL は、VARCHAR 値を 1 バイトまたは 2 バイト長のプリフィクスが付いたデータとして格納します。長さプリフィクスは、値に含まれるバイト数を示します。VARCHAR カラムは、格納できる値が 255 バイト以下の場合は 1 バイト長のプリフィクスを使用し、255 バイトより大きい場合は 2 バイト長のプリフィクスを使用します。
</t>
    <phoneticPr fontId="1"/>
  </si>
  <si>
    <r>
      <t>BINARY(</t>
    </r>
    <r>
      <rPr>
        <b/>
        <i/>
        <sz val="12"/>
        <color rgb="FF000000"/>
        <rFont val="メイリオ"/>
        <family val="2"/>
        <charset val="128"/>
      </rPr>
      <t>M</t>
    </r>
    <r>
      <rPr>
        <sz val="13"/>
        <color rgb="FF000000"/>
        <rFont val="メイリオ"/>
        <family val="2"/>
        <charset val="128"/>
      </rPr>
      <t>)</t>
    </r>
  </si>
  <si>
    <t>BINARY 型は CHAR 型と似ていますが、非バイナリ文字列ではなく、バイナリバイト文字列を格納します。M はカラムの長さをバイト数で表します。</t>
    <phoneticPr fontId="1"/>
  </si>
  <si>
    <r>
      <t>VARBINARY(</t>
    </r>
    <r>
      <rPr>
        <b/>
        <i/>
        <sz val="12"/>
        <color rgb="FF000000"/>
        <rFont val="メイリオ"/>
        <family val="2"/>
        <charset val="128"/>
      </rPr>
      <t>M</t>
    </r>
    <r>
      <rPr>
        <sz val="13"/>
        <color rgb="FF000000"/>
        <rFont val="メイリオ"/>
        <family val="2"/>
        <charset val="128"/>
      </rPr>
      <t>)</t>
    </r>
  </si>
  <si>
    <t>VARBINARY 型は VARCHAR 型と似ていますが、非バイナリ文字列ではなく、バイナリバイト文字列を格納します。M はカラムの最大の長さをバイト数で表します。</t>
    <phoneticPr fontId="1"/>
  </si>
  <si>
    <t>TINYBLOB</t>
  </si>
  <si>
    <t>最大長が 255 (2^8 − 1) バイトの BLOB カラム。各 TINYBLOB 値は、値のバイト数を示す 1 バイト長のプリフィクスを使用して格納されます。</t>
    <phoneticPr fontId="1"/>
  </si>
  <si>
    <t>最大長が 255 (2^8 − 1) 文字の TEXT カラム。値にマルチバイト文字が含まれる場合、有効な最大長は少なくなります。各 TINYTEXT 値は、値のバイト数を示す 1 バイト長のプリフィクスを使用して格納されます。</t>
    <phoneticPr fontId="1"/>
  </si>
  <si>
    <r>
      <t>BLOB[(</t>
    </r>
    <r>
      <rPr>
        <b/>
        <i/>
        <sz val="12"/>
        <color rgb="FF000000"/>
        <rFont val="メイリオ"/>
        <family val="2"/>
        <charset val="128"/>
      </rPr>
      <t>M</t>
    </r>
    <r>
      <rPr>
        <sz val="13"/>
        <color rgb="FF000000"/>
        <rFont val="メイリオ"/>
        <family val="2"/>
        <charset val="128"/>
      </rPr>
      <t>)]</t>
    </r>
  </si>
  <si>
    <r>
      <t>TEXT[(</t>
    </r>
    <r>
      <rPr>
        <b/>
        <i/>
        <sz val="12"/>
        <color rgb="FF000000"/>
        <rFont val="メイリオ"/>
        <family val="2"/>
        <charset val="128"/>
      </rPr>
      <t>M</t>
    </r>
    <r>
      <rPr>
        <sz val="13"/>
        <color rgb="FF000000"/>
        <rFont val="メイリオ"/>
        <family val="2"/>
        <charset val="128"/>
      </rPr>
      <t>)] [CHARACTER SET </t>
    </r>
    <r>
      <rPr>
        <b/>
        <i/>
        <sz val="12"/>
        <color rgb="FF000000"/>
        <rFont val="メイリオ"/>
        <family val="2"/>
        <charset val="128"/>
      </rPr>
      <t>charset_name</t>
    </r>
    <r>
      <rPr>
        <sz val="13"/>
        <color rgb="FF000000"/>
        <rFont val="メイリオ"/>
        <family val="2"/>
        <charset val="128"/>
      </rPr>
      <t xml:space="preserve">] [COLLATE </t>
    </r>
    <r>
      <rPr>
        <b/>
        <i/>
        <sz val="12"/>
        <color rgb="FF000000"/>
        <rFont val="メイリオ"/>
        <family val="2"/>
        <charset val="128"/>
      </rPr>
      <t>collation_name</t>
    </r>
    <r>
      <rPr>
        <sz val="13"/>
        <color rgb="FF000000"/>
        <rFont val="メイリオ"/>
        <family val="2"/>
        <charset val="128"/>
      </rPr>
      <t>]</t>
    </r>
    <phoneticPr fontId="1"/>
  </si>
  <si>
    <t>最大長が 65,535 (2^16 − 1) 文字の TEXT カラム。値にマルチバイト文字が含まれる場合、有効な最大長は少なくなります。各 TEXT 値は、値のバイト数を示す 2 バイト長のプリフィクスを使用して格納されます。
この型には、オプションの長さ M を指定できます。これが行われた場合、MySQL は M 文字の長さの値を保持するのに十分な最小 TEXT 型としてカラムを作成します。</t>
    <phoneticPr fontId="1"/>
  </si>
  <si>
    <t>MEDIUMBLOB</t>
  </si>
  <si>
    <t>最大長が 16,777,215 (2^24 − 1) バイトの BLOB カラム。各 MEDIUMBLOB 値は、値のバイト数を示す 3 バイト長のプリフィクスを使用して格納されます。</t>
    <phoneticPr fontId="1"/>
  </si>
  <si>
    <r>
      <t>MEDIUMTEXT [CHARACTER SET </t>
    </r>
    <r>
      <rPr>
        <b/>
        <i/>
        <sz val="12"/>
        <color rgb="FF000000"/>
        <rFont val="メイリオ"/>
        <family val="2"/>
        <charset val="128"/>
      </rPr>
      <t>charset_name</t>
    </r>
    <r>
      <rPr>
        <sz val="13"/>
        <color rgb="FF000000"/>
        <rFont val="メイリオ"/>
        <family val="2"/>
        <charset val="128"/>
      </rPr>
      <t xml:space="preserve">] [COLLATE </t>
    </r>
    <r>
      <rPr>
        <b/>
        <i/>
        <sz val="12"/>
        <color rgb="FF000000"/>
        <rFont val="メイリオ"/>
        <family val="2"/>
        <charset val="128"/>
      </rPr>
      <t>collation_name</t>
    </r>
    <r>
      <rPr>
        <sz val="13"/>
        <color rgb="FF000000"/>
        <rFont val="メイリオ"/>
        <family val="2"/>
        <charset val="128"/>
      </rPr>
      <t>]</t>
    </r>
    <phoneticPr fontId="1"/>
  </si>
  <si>
    <t>最大長が 16,777,215 (2^24 − 1) 文字の TEXT カラム。値にマルチバイト文字が含まれる場合、有効な最大長は少なくなります。各 MEDIUMTEXT 値は、値のバイト数を示す 3 バイト長のプリフィクスを使用して格納されます。</t>
    <phoneticPr fontId="1"/>
  </si>
  <si>
    <t>LONGBLOB</t>
  </si>
  <si>
    <t>最大長が 4,294,967,295 または 4G バイト (2^32 − 1) バイトの BLOB カラム。LONGBLOB カラムの有効な最大長は、クライアント/サーバープロトコルと使用可能なメモリー内の構成済み最大パケットサイズにより決まります。各 LONGBLOB 値は、値のバイト数を示す 4 バイト長のプリフィクスを使用して格納されます。</t>
    <phoneticPr fontId="1"/>
  </si>
  <si>
    <r>
      <t>LONGTEXT [CHARACTER SET </t>
    </r>
    <r>
      <rPr>
        <b/>
        <i/>
        <sz val="12"/>
        <color rgb="FF000000"/>
        <rFont val="メイリオ"/>
        <family val="2"/>
        <charset val="128"/>
      </rPr>
      <t>charset_name</t>
    </r>
    <r>
      <rPr>
        <sz val="13"/>
        <color rgb="FF000000"/>
        <rFont val="メイリオ"/>
        <family val="2"/>
        <charset val="128"/>
      </rPr>
      <t xml:space="preserve">] [COLLATE </t>
    </r>
    <r>
      <rPr>
        <b/>
        <i/>
        <sz val="12"/>
        <color rgb="FF000000"/>
        <rFont val="メイリオ"/>
        <family val="2"/>
        <charset val="128"/>
      </rPr>
      <t>collation_name</t>
    </r>
    <r>
      <rPr>
        <sz val="13"/>
        <color rgb="FF000000"/>
        <rFont val="メイリオ"/>
        <family val="2"/>
        <charset val="128"/>
      </rPr>
      <t>]</t>
    </r>
    <phoneticPr fontId="1"/>
  </si>
  <si>
    <t>最大長が 4,294,967,295 または 4G バイト (2^32 − 1) 文字の TEXT カラム。値にマルチバイト文字が含まれる場合、有効な最大長は少なくなります。LONGTEXT カラムの有効な最大長もまた、クライアント/サーバープロトコルと使用可能メモリー内の構成済みの最大パケットサイズにより決まります。各 LONGTEXT 値は、値のバイト数を示す 4 バイト長のプリフィクスを使用して格納されます。</t>
    <phoneticPr fontId="1"/>
  </si>
  <si>
    <r>
      <t>ENUM('</t>
    </r>
    <r>
      <rPr>
        <b/>
        <i/>
        <sz val="12"/>
        <color rgb="FF000000"/>
        <rFont val="メイリオ"/>
        <family val="2"/>
        <charset val="128"/>
      </rPr>
      <t>value1</t>
    </r>
    <r>
      <rPr>
        <sz val="13"/>
        <color rgb="FF000000"/>
        <rFont val="メイリオ"/>
        <family val="2"/>
        <charset val="128"/>
      </rPr>
      <t>','</t>
    </r>
    <r>
      <rPr>
        <b/>
        <i/>
        <sz val="12"/>
        <color rgb="FF000000"/>
        <rFont val="メイリオ"/>
        <family val="2"/>
        <charset val="128"/>
      </rPr>
      <t>value2</t>
    </r>
    <r>
      <rPr>
        <sz val="13"/>
        <color rgb="FF000000"/>
        <rFont val="メイリオ"/>
        <family val="2"/>
        <charset val="128"/>
      </rPr>
      <t xml:space="preserve">',...) [CHARACTER SET </t>
    </r>
    <r>
      <rPr>
        <b/>
        <i/>
        <sz val="12"/>
        <color rgb="FF000000"/>
        <rFont val="メイリオ"/>
        <family val="2"/>
        <charset val="128"/>
      </rPr>
      <t>charset_name</t>
    </r>
    <r>
      <rPr>
        <sz val="13"/>
        <color rgb="FF000000"/>
        <rFont val="メイリオ"/>
        <family val="2"/>
        <charset val="128"/>
      </rPr>
      <t>] [COLLATE </t>
    </r>
    <r>
      <rPr>
        <b/>
        <i/>
        <sz val="12"/>
        <color rgb="FF000000"/>
        <rFont val="メイリオ"/>
        <family val="2"/>
        <charset val="128"/>
      </rPr>
      <t>collation_name</t>
    </r>
    <r>
      <rPr>
        <sz val="13"/>
        <color rgb="FF000000"/>
        <rFont val="メイリオ"/>
        <family val="2"/>
        <charset val="128"/>
      </rPr>
      <t>]</t>
    </r>
    <phoneticPr fontId="1"/>
  </si>
  <si>
    <t xml:space="preserve">列挙です。'value1'、'value2'、... の値、NULL、または特殊な '' エラー値のリストから選択された値を 1 つだけを持つことができる文字列オブジェクトです。ENUM 値は、内部では整数として表されます。
ENUM カラムには、最大 65,535 個の個別の要素を含めることができます。(実用的な限度は 3000 個までです。)テーブルには、グループと見なされる ENUM および SET カラムの中の一意の要素リスト定義を、255 個以下を含めることができます。これらの制限の詳細は、セクションD.10.5「.frm ファイル構造により課せられる制限」を参照してください。
</t>
    <phoneticPr fontId="1"/>
  </si>
  <si>
    <t>SET('value1','value2',...) [CHARACTER SET charset_name] [COLLATE collation_name]</t>
    <phoneticPr fontId="1"/>
  </si>
  <si>
    <t>セットです。ゼロ個以上の値を持つことができる文字列オブジェクトであり、そのそれぞれの値は、'value1'、'value2'、... 値のリストから選択する必要があります。SET 値は整数として内部で表されます。
SET カラムには最大 64 個の個別のメンバーを含めることができます。テーブルには、グループと見なされる ENUM および SET カラムの中の一意の要素リスト定義を、255 個以下を含めることができます。この制限の詳細は、セクションD.10.5「.frm ファイル構造により課せられる制限」を参照してください。</t>
    <phoneticPr fontId="1"/>
  </si>
  <si>
    <t>非常に小さい整数。
・符号付きの範囲は -128 から 127 です。
・符号なしの範囲は 0 から 255 です。</t>
    <phoneticPr fontId="1"/>
  </si>
  <si>
    <t>小さい整数。
・符号付きの範囲は -32768 から 32767 です。
・符号なしの範囲は 0 から 65535 です。</t>
    <phoneticPr fontId="1"/>
  </si>
  <si>
    <t>範囲</t>
    <rPh sb="0" eb="2">
      <t>ハンイ</t>
    </rPh>
    <phoneticPr fontId="1"/>
  </si>
  <si>
    <t>ビットフィールド型。
M は、値あたりのビット数 (1 から 64) を表します。M を省略した場合のデフォルトは 1 です。</t>
    <phoneticPr fontId="1"/>
  </si>
  <si>
    <t>M=1〜64（Defalt: M=1）</t>
    <phoneticPr fontId="1"/>
  </si>
  <si>
    <t>SIGNED     = -128 ~ 127
UNSIGNED = 0 ~ 255</t>
    <phoneticPr fontId="1"/>
  </si>
  <si>
    <t>false(=0), true(not 0)</t>
    <phoneticPr fontId="1"/>
  </si>
  <si>
    <t>SIGNED     = -32768 ~ 32767
UNSIGNED = 0 ~ 65535</t>
    <phoneticPr fontId="1"/>
  </si>
  <si>
    <t>中間サイズの整数。
・符号付きの範囲は -8388608 から 8388607 です。
・符号なしの範囲は 0 から 16777215 です。</t>
    <phoneticPr fontId="1"/>
  </si>
  <si>
    <t xml:space="preserve">SIGNED     =  -8388608 ~ 8388607 
UNSIGNED = 0 〜 16777215 </t>
    <phoneticPr fontId="1"/>
  </si>
  <si>
    <r>
      <t>SMALLINT[(</t>
    </r>
    <r>
      <rPr>
        <b/>
        <i/>
        <sz val="12"/>
        <color rgb="FF000000"/>
        <rFont val="メイリオ"/>
        <family val="2"/>
        <charset val="128"/>
      </rPr>
      <t>M</t>
    </r>
    <r>
      <rPr>
        <sz val="13"/>
        <color rgb="FF000000"/>
        <rFont val="メイリオ"/>
        <family val="2"/>
        <charset val="128"/>
      </rPr>
      <t xml:space="preserve">)] </t>
    </r>
    <r>
      <rPr>
        <b/>
        <sz val="13"/>
        <color rgb="FF0070C0"/>
        <rFont val="メイリオ"/>
        <family val="2"/>
        <charset val="128"/>
      </rPr>
      <t>[UNSIGNED] [ZEROFILL]</t>
    </r>
    <phoneticPr fontId="1"/>
  </si>
  <si>
    <r>
      <t>TINYINT[(</t>
    </r>
    <r>
      <rPr>
        <b/>
        <i/>
        <sz val="12"/>
        <color rgb="FF000000"/>
        <rFont val="メイリオ"/>
        <family val="2"/>
        <charset val="128"/>
      </rPr>
      <t>M</t>
    </r>
    <r>
      <rPr>
        <sz val="13"/>
        <color rgb="FF000000"/>
        <rFont val="メイリオ"/>
        <family val="2"/>
        <charset val="128"/>
      </rPr>
      <t xml:space="preserve">)] </t>
    </r>
    <r>
      <rPr>
        <b/>
        <sz val="13"/>
        <color rgb="FF0070C0"/>
        <rFont val="メイリオ"/>
        <family val="2"/>
        <charset val="128"/>
      </rPr>
      <t>[UNSIGNED] [ZEROFILL]</t>
    </r>
    <phoneticPr fontId="1"/>
  </si>
  <si>
    <r>
      <t xml:space="preserve">INT[(M)] </t>
    </r>
    <r>
      <rPr>
        <b/>
        <sz val="12"/>
        <color rgb="FF0070C0"/>
        <rFont val="メイリオ"/>
        <family val="2"/>
        <charset val="128"/>
      </rPr>
      <t>[UNSIGNED] [ZEROFILL]</t>
    </r>
    <phoneticPr fontId="1"/>
  </si>
  <si>
    <r>
      <t>MEDIUMINT[(</t>
    </r>
    <r>
      <rPr>
        <b/>
        <i/>
        <sz val="12"/>
        <color rgb="FF000000"/>
        <rFont val="メイリオ"/>
        <family val="2"/>
        <charset val="128"/>
      </rPr>
      <t>M</t>
    </r>
    <r>
      <rPr>
        <sz val="13"/>
        <color rgb="FF000000"/>
        <rFont val="メイリオ"/>
        <family val="2"/>
        <charset val="128"/>
      </rPr>
      <t xml:space="preserve">)] </t>
    </r>
    <r>
      <rPr>
        <b/>
        <sz val="13"/>
        <color rgb="FF0070C0"/>
        <rFont val="メイリオ"/>
        <family val="2"/>
        <charset val="128"/>
      </rPr>
      <t>[UNSIGNED] [ZEROFILL]</t>
    </r>
    <phoneticPr fontId="1"/>
  </si>
  <si>
    <t>普通サイズの整数。
・符号付きの範囲は -2147483648 から 2147483647 です。
・符号なしの範囲は 0 から 4294967295 です。</t>
    <phoneticPr fontId="1"/>
  </si>
  <si>
    <t>SIGNED = -2147483648 〜 2147483647
UNSIGNED = 0 〜 4294967295</t>
    <phoneticPr fontId="1"/>
  </si>
  <si>
    <t>大きい整数。
・符号付きの範囲は -9223372036854775808 から 9223372036854775807 です。
・符号なしの範囲は 0 から 18446744073709551615 です。</t>
    <phoneticPr fontId="1"/>
  </si>
  <si>
    <t>SIGNED =  -9223372036854775808  〜  9223372036854775807 
UNSIGNED = 0 〜 18446744073709551615</t>
    <phoneticPr fontId="1"/>
  </si>
  <si>
    <t>この型は INT のシノニムです。
・符号付きの範囲は -2147483648 から 2147483647 です。
・符号なしの範囲は 0 から 4294967295 です。</t>
    <phoneticPr fontId="1"/>
  </si>
  <si>
    <t>BIGINT AUTO_INCREMENT</t>
    <phoneticPr fontId="1"/>
  </si>
  <si>
    <t>大きい整数。※符号無しのオートインクリメント</t>
    <rPh sb="7" eb="10">
      <t>フゴウナシノ</t>
    </rPh>
    <phoneticPr fontId="1"/>
  </si>
  <si>
    <t>UNSIGNED = 0 〜 18446744073709551615</t>
    <phoneticPr fontId="1"/>
  </si>
  <si>
    <t>注釈）</t>
    <rPh sb="0" eb="2">
      <t>チュウシャク</t>
    </rPh>
    <phoneticPr fontId="1"/>
  </si>
  <si>
    <t>　Data Types</t>
    <phoneticPr fontId="1"/>
  </si>
  <si>
    <t>ツールで使用可能な型は、対象（C列）に「○」とマルがついているものになります。
○ではなく「ー」となっている型は、今回対象外としています。もし必要であれば、用途に応じてプログラムの改修をする必要があります。ご自由にプログラムを変更していただいて構いませんが、コードの変更をされた場合はサポート対象外とさせていただきますので、あらかじめご了承ください。</t>
    <rPh sb="4" eb="6">
      <t>シヨウ</t>
    </rPh>
    <rPh sb="6" eb="8">
      <t>カノウ</t>
    </rPh>
    <rPh sb="9" eb="10">
      <t>カタ</t>
    </rPh>
    <rPh sb="12" eb="14">
      <t>タイショウ</t>
    </rPh>
    <rPh sb="16" eb="17">
      <t>レツ</t>
    </rPh>
    <rPh sb="54" eb="55">
      <t>カタ</t>
    </rPh>
    <rPh sb="57" eb="58">
      <t>コンカイノ</t>
    </rPh>
    <rPh sb="59" eb="61">
      <t>タイショウガイ</t>
    </rPh>
    <rPh sb="68" eb="69">
      <t>リヨウ</t>
    </rPh>
    <rPh sb="71" eb="73">
      <t>ヒツヨウデアレバ</t>
    </rPh>
    <rPh sb="82" eb="84">
      <t>ツイカ</t>
    </rPh>
    <rPh sb="90" eb="92">
      <t>カイシュウ</t>
    </rPh>
    <rPh sb="95" eb="97">
      <t>ヒツヨウガアリマス</t>
    </rPh>
    <rPh sb="113" eb="115">
      <t>ヘンコウ</t>
    </rPh>
    <rPh sb="133" eb="135">
      <t>ヘンコウヲ</t>
    </rPh>
    <rPh sb="146" eb="149">
      <t>タイショウガイ</t>
    </rPh>
    <phoneticPr fontId="1"/>
  </si>
  <si>
    <t>パックされた「正確な」固定小数点数。
・M は桁数の合計 (精度) で、D は小数点以下の桁数 (スケール) です。
・小数点と、負の数に対する「-」の記号は M にはカウントされません。
・D が 0 のときは、小数点や小数部はありません。DECIMAL の最大桁数 (M) は 65 です。サポートされる小数部の最大桁数 (D) は 30 です。D が省略された場合のデフォルトは 0 です。M が省略された場合のデフォルトは 10 です。</t>
    <phoneticPr fontId="1"/>
  </si>
  <si>
    <t>D桁数の合計 (Max:M = 65, Defalt: M=10）
小数部の桁数 (Max:D = 30, Defalt: D=0）</t>
    <rPh sb="1" eb="3">
      <t>ケタスウ</t>
    </rPh>
    <rPh sb="4" eb="6">
      <t>ゴウケイ</t>
    </rPh>
    <phoneticPr fontId="1"/>
  </si>
  <si>
    <r>
      <t>BIGINT[(</t>
    </r>
    <r>
      <rPr>
        <b/>
        <i/>
        <sz val="12"/>
        <color rgb="FF000000"/>
        <rFont val="メイリオ"/>
        <family val="2"/>
        <charset val="128"/>
      </rPr>
      <t>M</t>
    </r>
    <r>
      <rPr>
        <sz val="13"/>
        <color rgb="FF000000"/>
        <rFont val="メイリオ"/>
        <family val="2"/>
        <charset val="128"/>
      </rPr>
      <t xml:space="preserve">)] </t>
    </r>
    <r>
      <rPr>
        <b/>
        <sz val="13"/>
        <color rgb="FF0070C0"/>
        <rFont val="メイリオ"/>
        <family val="2"/>
        <charset val="128"/>
      </rPr>
      <t>[UNSIGNED] [ZEROFILL]</t>
    </r>
    <phoneticPr fontId="1"/>
  </si>
  <si>
    <r>
      <t xml:space="preserve">DECIMAL[(M[,D])] </t>
    </r>
    <r>
      <rPr>
        <b/>
        <sz val="12"/>
        <color rgb="FF0070C0"/>
        <rFont val="メイリオ"/>
        <family val="2"/>
        <charset val="128"/>
      </rPr>
      <t>[UNSIGNED] [ZEROFILL]</t>
    </r>
    <phoneticPr fontId="1"/>
  </si>
  <si>
    <t>普通サイズ (倍精度) の浮動小数点数。
・許可されている値は、-1.7976931348623157E+308 から -2.2250738585072014E-308、0、および 2.2250738585072014E-308 から 1.7976931348623157E+308 です。これらは、IEEE スタンダードに基づいた理論的な限度です。使用しているハードウェアまたはオペレーティングシステムによっては、実際の範囲は少し小さくなる場合があります。
・M は桁数の合計で、D は小数点以下の桁数です。
・M と D を省略した場合、値はハードウェアで許可された限度まで格納されます。
・倍精度小数点数はおおよそ小数第 15 位まで正確です。
・UNSIGNED が指定されている場合、負の値は許可されません。</t>
    <phoneticPr fontId="1"/>
  </si>
  <si>
    <t xml:space="preserve">SIGNED = -1.7976931348623157E+308  〜 -2.2250738585072014E-308, 0, 2.2250738585072014E-308  〜 1.7976931348623157E+308 
UNSIGNED =0, 2.2250738585072014E-308  〜 1.7976931348623157E+308
(D &lt;= 15) </t>
    <phoneticPr fontId="1"/>
  </si>
  <si>
    <t>memo</t>
    <phoneticPr fontId="1"/>
  </si>
  <si>
    <t>日付です。サポートしている範囲は '1000-01-01' から '9999-12-31' です。MySQL は 'YYYY-MM-DD' の形式で DATE 値を表示しますが、文字列または数値のどちらかを使用した DATE カラムへの値の割り当てを許可しています。</t>
    <phoneticPr fontId="1"/>
  </si>
  <si>
    <t xml:space="preserve"> '1970-01-01 00:00:01.000000' UTC から '2038-01-19 03:14:07.999999' UTC
fsp = 0 ~ 6 ( Defalt: fsp=0 )</t>
    <phoneticPr fontId="1"/>
  </si>
  <si>
    <t xml:space="preserve"> '1000-01-01 00:00:00.000000' から '9999-12-31 23:59:59.999999'
形式: 'YYYY-MM-DD HH:MM:SS[.fraction]'
fsp = 0 ~ 6 ( Defalt: fsp=0 )</t>
    <phoneticPr fontId="1"/>
  </si>
  <si>
    <t>1000-01-01' から '9999-12-31' 
形式: 'YYYY-MM-DD' </t>
    <phoneticPr fontId="1"/>
  </si>
  <si>
    <t>サーバーで TIMESTAMP 定義をどのように扱うかは、explicit_defaults_for_timestamp システム変数の値によって異なります (セクション5.1.4「サーバーシステム変数」を参照してください)</t>
    <phoneticPr fontId="1"/>
  </si>
  <si>
    <t xml:space="preserve">'-838:59:59.000000' から '838:59:59.000000'
形式: 'HH:MM:SS[.fraction]'  </t>
    <phoneticPr fontId="1"/>
  </si>
  <si>
    <t xml:space="preserve">1970 から 2069 </t>
    <phoneticPr fontId="1"/>
  </si>
  <si>
    <t>TINYTEXT</t>
    <phoneticPr fontId="1"/>
  </si>
  <si>
    <r>
      <rPr>
        <b/>
        <sz val="13"/>
        <color rgb="FF7030A0"/>
        <rFont val="メイリオ"/>
        <family val="2"/>
        <charset val="128"/>
      </rPr>
      <t xml:space="preserve">[NATIONAL] </t>
    </r>
    <r>
      <rPr>
        <sz val="13"/>
        <color rgb="FF000000"/>
        <rFont val="メイリオ"/>
        <family val="2"/>
        <charset val="128"/>
      </rPr>
      <t>VARCHAR(</t>
    </r>
    <r>
      <rPr>
        <b/>
        <i/>
        <sz val="12"/>
        <color rgb="FF000000"/>
        <rFont val="メイリオ"/>
        <family val="2"/>
        <charset val="128"/>
      </rPr>
      <t>M</t>
    </r>
    <r>
      <rPr>
        <sz val="13"/>
        <color rgb="FF000000"/>
        <rFont val="メイリオ"/>
        <family val="2"/>
        <charset val="128"/>
      </rPr>
      <t xml:space="preserve">) </t>
    </r>
    <r>
      <rPr>
        <b/>
        <sz val="13"/>
        <color rgb="FF7030A0"/>
        <rFont val="メイリオ"/>
        <family val="2"/>
        <charset val="128"/>
      </rPr>
      <t>[CHARACTER SET </t>
    </r>
    <r>
      <rPr>
        <b/>
        <i/>
        <sz val="12"/>
        <color rgb="FF7030A0"/>
        <rFont val="メイリオ"/>
        <family val="2"/>
        <charset val="128"/>
      </rPr>
      <t>charset_name</t>
    </r>
    <r>
      <rPr>
        <b/>
        <sz val="13"/>
        <color rgb="FF7030A0"/>
        <rFont val="メイリオ"/>
        <family val="2"/>
        <charset val="128"/>
      </rPr>
      <t>] [COLLATE </t>
    </r>
    <r>
      <rPr>
        <b/>
        <i/>
        <sz val="12"/>
        <color rgb="FF7030A0"/>
        <rFont val="メイリオ"/>
        <family val="2"/>
        <charset val="128"/>
      </rPr>
      <t>collation_name</t>
    </r>
    <r>
      <rPr>
        <b/>
        <sz val="13"/>
        <color rgb="FF7030A0"/>
        <rFont val="メイリオ"/>
        <family val="2"/>
        <charset val="128"/>
      </rPr>
      <t>]</t>
    </r>
    <phoneticPr fontId="1"/>
  </si>
  <si>
    <r>
      <rPr>
        <b/>
        <sz val="13"/>
        <color rgb="FF7030A0"/>
        <rFont val="メイリオ"/>
        <family val="2"/>
        <charset val="128"/>
      </rPr>
      <t xml:space="preserve">[NATIONAL] </t>
    </r>
    <r>
      <rPr>
        <sz val="13"/>
        <color rgb="FF000000"/>
        <rFont val="メイリオ"/>
        <family val="2"/>
        <charset val="128"/>
      </rPr>
      <t>CHAR[(</t>
    </r>
    <r>
      <rPr>
        <b/>
        <i/>
        <sz val="12"/>
        <color rgb="FF000000"/>
        <rFont val="メイリオ"/>
        <family val="2"/>
        <charset val="128"/>
      </rPr>
      <t>M</t>
    </r>
    <r>
      <rPr>
        <sz val="13"/>
        <color rgb="FF000000"/>
        <rFont val="メイリオ"/>
        <family val="2"/>
        <charset val="128"/>
      </rPr>
      <t>)]</t>
    </r>
    <r>
      <rPr>
        <b/>
        <sz val="13"/>
        <color rgb="FF0070C0"/>
        <rFont val="メイリオ"/>
        <family val="2"/>
        <charset val="128"/>
      </rPr>
      <t xml:space="preserve"> </t>
    </r>
    <r>
      <rPr>
        <b/>
        <sz val="13"/>
        <color rgb="FF7030A0"/>
        <rFont val="メイリオ"/>
        <family val="2"/>
        <charset val="128"/>
      </rPr>
      <t>[CHARACTER SET </t>
    </r>
    <r>
      <rPr>
        <b/>
        <i/>
        <sz val="12"/>
        <color rgb="FF7030A0"/>
        <rFont val="メイリオ"/>
        <family val="2"/>
        <charset val="128"/>
      </rPr>
      <t>charset_name</t>
    </r>
    <r>
      <rPr>
        <b/>
        <sz val="13"/>
        <color rgb="FF7030A0"/>
        <rFont val="メイリオ"/>
        <family val="2"/>
        <charset val="128"/>
      </rPr>
      <t>] [COLLATE </t>
    </r>
    <r>
      <rPr>
        <b/>
        <i/>
        <sz val="12"/>
        <color rgb="FF7030A0"/>
        <rFont val="メイリオ"/>
        <family val="2"/>
        <charset val="128"/>
      </rPr>
      <t>collation_name</t>
    </r>
    <r>
      <rPr>
        <b/>
        <sz val="13"/>
        <color rgb="FF7030A0"/>
        <rFont val="メイリオ"/>
        <family val="2"/>
        <charset val="128"/>
      </rPr>
      <t>]</t>
    </r>
    <phoneticPr fontId="1"/>
  </si>
  <si>
    <r>
      <t>TINYTEXT</t>
    </r>
    <r>
      <rPr>
        <b/>
        <sz val="13"/>
        <color rgb="FF7030A0"/>
        <rFont val="メイリオ"/>
        <family val="2"/>
        <charset val="128"/>
      </rPr>
      <t xml:space="preserve"> [CHARACTER SET </t>
    </r>
    <r>
      <rPr>
        <b/>
        <i/>
        <sz val="12"/>
        <color rgb="FF7030A0"/>
        <rFont val="メイリオ"/>
        <family val="2"/>
        <charset val="128"/>
      </rPr>
      <t>charset_name</t>
    </r>
    <r>
      <rPr>
        <b/>
        <sz val="13"/>
        <color rgb="FF7030A0"/>
        <rFont val="メイリオ"/>
        <family val="2"/>
        <charset val="128"/>
      </rPr>
      <t xml:space="preserve">] [COLLATE </t>
    </r>
    <r>
      <rPr>
        <b/>
        <i/>
        <sz val="12"/>
        <color rgb="FF7030A0"/>
        <rFont val="メイリオ"/>
        <family val="2"/>
        <charset val="128"/>
      </rPr>
      <t>collation_name</t>
    </r>
    <r>
      <rPr>
        <b/>
        <sz val="13"/>
        <color rgb="FF7030A0"/>
        <rFont val="メイリオ"/>
        <family val="2"/>
        <charset val="128"/>
      </rPr>
      <t>]</t>
    </r>
    <phoneticPr fontId="1"/>
  </si>
  <si>
    <t xml:space="preserve">SET('value1','value2',...) </t>
    <phoneticPr fontId="1"/>
  </si>
  <si>
    <t>LONGTEXT</t>
    <phoneticPr fontId="1"/>
  </si>
  <si>
    <t>MEDIUMTEXT</t>
    <phoneticPr fontId="1"/>
  </si>
  <si>
    <t>Max Len:  16,777,215 (2^24 − 1) バイト</t>
    <phoneticPr fontId="1"/>
  </si>
  <si>
    <t>Max Len: 255 (2^8 − 1) 文字</t>
    <phoneticPr fontId="1"/>
  </si>
  <si>
    <t>Max Len:  65,535 (2^16 − 1) 文字</t>
    <phoneticPr fontId="1"/>
  </si>
  <si>
    <t>Max Len:  16,777,215 (2^24 − 1) 文字</t>
    <phoneticPr fontId="1"/>
  </si>
  <si>
    <t>Max Len: 4,294,967,295
 or 4G byte (2^32 − 1) 文字</t>
    <rPh sb="46" eb="48">
      <t>モジ</t>
    </rPh>
    <phoneticPr fontId="1"/>
  </si>
  <si>
    <t>Max Len: 4,294,967,295
 or 4G byte  (2^32 − 1) バイト</t>
    <phoneticPr fontId="1"/>
  </si>
  <si>
    <t>set column max: 65,535個の個別要素
(but real max : &lt;= 3000)
set column list : &lt;= 255個</t>
    <rPh sb="22" eb="23">
      <t>コ</t>
    </rPh>
    <rPh sb="24" eb="26">
      <t>コベツ</t>
    </rPh>
    <rPh sb="26" eb="28">
      <t>ヨウソ</t>
    </rPh>
    <phoneticPr fontId="1"/>
  </si>
  <si>
    <t>set column max: 64 個のメンバー
set column list : &lt;= 255個</t>
    <rPh sb="19" eb="20">
      <t>コ</t>
    </rPh>
    <rPh sb="50" eb="51">
      <t>コ</t>
    </rPh>
    <phoneticPr fontId="1"/>
  </si>
  <si>
    <t>MySQL 5.6.6 以降、YEAR(2) は非推奨です。</t>
    <phoneticPr fontId="1"/>
  </si>
  <si>
    <t>DECIMAL のシノニム</t>
    <phoneticPr fontId="1"/>
  </si>
  <si>
    <t>DOUBLE のシノニム（例外あり）</t>
    <phoneticPr fontId="1"/>
  </si>
  <si>
    <t>＊ODBC との互換性を確保</t>
    <phoneticPr fontId="1"/>
  </si>
  <si>
    <t>＊MySQL ではすべての計算が倍精度で行われているので、FLOAT を使用すると、予想外の問題が起きることがあります</t>
    <phoneticPr fontId="1"/>
  </si>
  <si>
    <t>YEAR[(2)]</t>
    <rPh sb="0" eb="9">
      <t>ヒスイショウ</t>
    </rPh>
    <phoneticPr fontId="1"/>
  </si>
  <si>
    <t>70 から 69   ※非推奨</t>
    <phoneticPr fontId="1"/>
  </si>
  <si>
    <t>M = 0 ~ 65,535 byte
ex) utf8 M = 0 ~ 21,844 文字</t>
    <phoneticPr fontId="1"/>
  </si>
  <si>
    <t>M=0 ~ 65,535 byte</t>
    <phoneticPr fontId="1"/>
  </si>
  <si>
    <t>M=0 ~ 255 文字</t>
    <phoneticPr fontId="1"/>
  </si>
  <si>
    <t>M = 0 ~ 255 ( Defalt: M=1) 文字</t>
    <phoneticPr fontId="1"/>
  </si>
  <si>
    <t>Max Len: 255 (2^8 − 1) byte</t>
    <phoneticPr fontId="1"/>
  </si>
  <si>
    <t>対象</t>
    <rPh sb="0" eb="2">
      <t>タイショウ</t>
    </rPh>
    <phoneticPr fontId="1"/>
  </si>
  <si>
    <r>
      <t>BIT[(</t>
    </r>
    <r>
      <rPr>
        <b/>
        <sz val="14"/>
        <color rgb="FF000000"/>
        <rFont val="メイリオ"/>
        <family val="2"/>
        <charset val="128"/>
      </rPr>
      <t>M</t>
    </r>
    <r>
      <rPr>
        <sz val="14"/>
        <color rgb="FF000000"/>
        <rFont val="メイリオ"/>
        <family val="2"/>
        <charset val="128"/>
      </rPr>
      <t>)]</t>
    </r>
    <phoneticPr fontId="1"/>
  </si>
  <si>
    <r>
      <t>TINYINT[(</t>
    </r>
    <r>
      <rPr>
        <b/>
        <sz val="14"/>
        <color rgb="FF000000"/>
        <rFont val="メイリオ"/>
        <family val="2"/>
        <charset val="128"/>
      </rPr>
      <t>M</t>
    </r>
    <r>
      <rPr>
        <sz val="14"/>
        <color rgb="FF000000"/>
        <rFont val="メイリオ"/>
        <family val="2"/>
        <charset val="128"/>
      </rPr>
      <t>)]</t>
    </r>
    <phoneticPr fontId="1"/>
  </si>
  <si>
    <r>
      <t>SMALLINT[(</t>
    </r>
    <r>
      <rPr>
        <b/>
        <sz val="14"/>
        <color rgb="FF000000"/>
        <rFont val="メイリオ"/>
        <family val="2"/>
        <charset val="128"/>
      </rPr>
      <t>M</t>
    </r>
    <r>
      <rPr>
        <sz val="14"/>
        <color rgb="FF000000"/>
        <rFont val="メイリオ"/>
        <family val="2"/>
        <charset val="128"/>
      </rPr>
      <t xml:space="preserve">)] </t>
    </r>
    <phoneticPr fontId="1"/>
  </si>
  <si>
    <r>
      <t>MEDIUMINT[(</t>
    </r>
    <r>
      <rPr>
        <b/>
        <sz val="14"/>
        <color rgb="FF000000"/>
        <rFont val="メイリオ"/>
        <family val="2"/>
        <charset val="128"/>
      </rPr>
      <t>M</t>
    </r>
    <r>
      <rPr>
        <sz val="14"/>
        <color rgb="FF000000"/>
        <rFont val="メイリオ"/>
        <family val="2"/>
        <charset val="128"/>
      </rPr>
      <t xml:space="preserve">)] </t>
    </r>
    <phoneticPr fontId="1"/>
  </si>
  <si>
    <r>
      <t>BIGINT[(</t>
    </r>
    <r>
      <rPr>
        <b/>
        <sz val="14"/>
        <color rgb="FF000000"/>
        <rFont val="メイリオ"/>
        <family val="2"/>
        <charset val="128"/>
      </rPr>
      <t>M</t>
    </r>
    <r>
      <rPr>
        <sz val="14"/>
        <color rgb="FF000000"/>
        <rFont val="メイリオ"/>
        <family val="2"/>
        <charset val="128"/>
      </rPr>
      <t xml:space="preserve">)] </t>
    </r>
    <phoneticPr fontId="1"/>
  </si>
  <si>
    <r>
      <t>DATETIME[(</t>
    </r>
    <r>
      <rPr>
        <b/>
        <sz val="14"/>
        <color rgb="FF000000"/>
        <rFont val="メイリオ"/>
        <family val="2"/>
        <charset val="128"/>
      </rPr>
      <t>fsp</t>
    </r>
    <r>
      <rPr>
        <sz val="14"/>
        <color rgb="FF000000"/>
        <rFont val="メイリオ"/>
        <family val="2"/>
        <charset val="128"/>
      </rPr>
      <t>)]</t>
    </r>
    <phoneticPr fontId="1"/>
  </si>
  <si>
    <r>
      <t>TIMESTAMP[(</t>
    </r>
    <r>
      <rPr>
        <b/>
        <sz val="14"/>
        <color rgb="FF000000"/>
        <rFont val="メイリオ"/>
        <family val="2"/>
        <charset val="128"/>
      </rPr>
      <t>fsp</t>
    </r>
    <r>
      <rPr>
        <sz val="14"/>
        <color rgb="FF000000"/>
        <rFont val="メイリオ"/>
        <family val="2"/>
        <charset val="128"/>
      </rPr>
      <t>)]</t>
    </r>
    <phoneticPr fontId="1"/>
  </si>
  <si>
    <r>
      <t>CHAR[(</t>
    </r>
    <r>
      <rPr>
        <b/>
        <sz val="14"/>
        <color rgb="FF000000"/>
        <rFont val="メイリオ"/>
        <family val="2"/>
        <charset val="128"/>
      </rPr>
      <t>M</t>
    </r>
    <r>
      <rPr>
        <sz val="14"/>
        <color rgb="FF000000"/>
        <rFont val="メイリオ"/>
        <family val="2"/>
        <charset val="128"/>
      </rPr>
      <t>)]</t>
    </r>
    <phoneticPr fontId="1"/>
  </si>
  <si>
    <r>
      <t>VARCHAR(</t>
    </r>
    <r>
      <rPr>
        <b/>
        <sz val="14"/>
        <color rgb="FF000000"/>
        <rFont val="メイリオ"/>
        <family val="2"/>
        <charset val="128"/>
      </rPr>
      <t>M</t>
    </r>
    <r>
      <rPr>
        <sz val="14"/>
        <color rgb="FF000000"/>
        <rFont val="メイリオ"/>
        <family val="2"/>
        <charset val="128"/>
      </rPr>
      <t>)</t>
    </r>
    <phoneticPr fontId="1"/>
  </si>
  <si>
    <r>
      <t>BINARY(</t>
    </r>
    <r>
      <rPr>
        <b/>
        <sz val="14"/>
        <color rgb="FF000000"/>
        <rFont val="メイリオ"/>
        <family val="2"/>
        <charset val="128"/>
      </rPr>
      <t>M</t>
    </r>
    <r>
      <rPr>
        <sz val="14"/>
        <color rgb="FF000000"/>
        <rFont val="メイリオ"/>
        <family val="2"/>
        <charset val="128"/>
      </rPr>
      <t>)</t>
    </r>
    <phoneticPr fontId="1"/>
  </si>
  <si>
    <r>
      <t>VARBINARY(</t>
    </r>
    <r>
      <rPr>
        <b/>
        <sz val="14"/>
        <color rgb="FF000000"/>
        <rFont val="メイリオ"/>
        <family val="2"/>
        <charset val="128"/>
      </rPr>
      <t>M</t>
    </r>
    <r>
      <rPr>
        <sz val="14"/>
        <color rgb="FF000000"/>
        <rFont val="メイリオ"/>
        <family val="2"/>
        <charset val="128"/>
      </rPr>
      <t>)</t>
    </r>
  </si>
  <si>
    <r>
      <t>BLOB[(</t>
    </r>
    <r>
      <rPr>
        <b/>
        <sz val="14"/>
        <color rgb="FF000000"/>
        <rFont val="メイリオ"/>
        <family val="2"/>
        <charset val="128"/>
      </rPr>
      <t>M</t>
    </r>
    <r>
      <rPr>
        <sz val="14"/>
        <color rgb="FF000000"/>
        <rFont val="メイリオ"/>
        <family val="2"/>
        <charset val="128"/>
      </rPr>
      <t>)]</t>
    </r>
  </si>
  <si>
    <r>
      <t>TEXT[(</t>
    </r>
    <r>
      <rPr>
        <b/>
        <sz val="14"/>
        <color rgb="FF000000"/>
        <rFont val="メイリオ"/>
        <family val="2"/>
        <charset val="128"/>
      </rPr>
      <t>M</t>
    </r>
    <r>
      <rPr>
        <sz val="14"/>
        <color rgb="FF000000"/>
        <rFont val="メイリオ"/>
        <family val="2"/>
        <charset val="128"/>
      </rPr>
      <t xml:space="preserve">)] </t>
    </r>
    <phoneticPr fontId="1"/>
  </si>
  <si>
    <r>
      <t>FLOAT[(</t>
    </r>
    <r>
      <rPr>
        <b/>
        <sz val="14"/>
        <color rgb="FF000000"/>
        <rFont val="メイリオ"/>
        <family val="2"/>
        <charset val="128"/>
      </rPr>
      <t>M</t>
    </r>
    <r>
      <rPr>
        <sz val="14"/>
        <color rgb="FF000000"/>
        <rFont val="メイリオ"/>
        <family val="2"/>
        <charset val="128"/>
      </rPr>
      <t>,</t>
    </r>
    <r>
      <rPr>
        <b/>
        <sz val="14"/>
        <color rgb="FF000000"/>
        <rFont val="メイリオ"/>
        <family val="2"/>
        <charset val="128"/>
      </rPr>
      <t>D</t>
    </r>
    <r>
      <rPr>
        <sz val="14"/>
        <color rgb="FF000000"/>
        <rFont val="メイリオ"/>
        <family val="2"/>
        <charset val="128"/>
      </rPr>
      <t>)]</t>
    </r>
    <phoneticPr fontId="1"/>
  </si>
  <si>
    <r>
      <t>INTEGER[(</t>
    </r>
    <r>
      <rPr>
        <b/>
        <sz val="14"/>
        <color rgb="FF000000"/>
        <rFont val="メイリオ"/>
        <family val="2"/>
        <charset val="128"/>
      </rPr>
      <t>M</t>
    </r>
    <r>
      <rPr>
        <sz val="14"/>
        <color rgb="FF000000"/>
        <rFont val="メイリオ"/>
        <family val="2"/>
        <charset val="128"/>
      </rPr>
      <t xml:space="preserve">)] </t>
    </r>
    <phoneticPr fontId="1"/>
  </si>
  <si>
    <r>
      <t>ENUM('</t>
    </r>
    <r>
      <rPr>
        <b/>
        <sz val="14"/>
        <color rgb="FF000000"/>
        <rFont val="メイリオ"/>
        <family val="2"/>
        <charset val="128"/>
      </rPr>
      <t>value1</t>
    </r>
    <r>
      <rPr>
        <sz val="14"/>
        <color rgb="FF000000"/>
        <rFont val="メイリオ"/>
        <family val="2"/>
        <charset val="128"/>
      </rPr>
      <t>','</t>
    </r>
    <r>
      <rPr>
        <b/>
        <sz val="14"/>
        <color rgb="FF000000"/>
        <rFont val="メイリオ"/>
        <family val="2"/>
        <charset val="128"/>
      </rPr>
      <t>value2</t>
    </r>
    <r>
      <rPr>
        <sz val="14"/>
        <color rgb="FF000000"/>
        <rFont val="メイリオ"/>
        <family val="2"/>
        <charset val="128"/>
      </rPr>
      <t>',...)</t>
    </r>
    <phoneticPr fontId="1"/>
  </si>
  <si>
    <t>最終更新日</t>
    <rPh sb="0" eb="2">
      <t>サイシュウ</t>
    </rPh>
    <rPh sb="2" eb="5">
      <t>コウシンビ</t>
    </rPh>
    <phoneticPr fontId="1"/>
  </si>
  <si>
    <t>最終更新者</t>
    <rPh sb="0" eb="2">
      <t>サイシュウ</t>
    </rPh>
    <rPh sb="2" eb="5">
      <t>コウシンシャ</t>
    </rPh>
    <phoneticPr fontId="1"/>
  </si>
  <si>
    <t>日付・時間型</t>
    <rPh sb="3" eb="5">
      <t>ジカン</t>
    </rPh>
    <phoneticPr fontId="1"/>
  </si>
  <si>
    <t>カラム情報</t>
    <rPh sb="3" eb="5">
      <t>ジョウホウ</t>
    </rPh>
    <phoneticPr fontId="1"/>
  </si>
  <si>
    <t>型カテゴリ</t>
    <rPh sb="0" eb="1">
      <t>カタ</t>
    </rPh>
    <phoneticPr fontId="1"/>
  </si>
  <si>
    <r>
      <t>VARCHAR(</t>
    </r>
    <r>
      <rPr>
        <b/>
        <sz val="14"/>
        <color rgb="FF000000"/>
        <rFont val="Meiryo UI"/>
        <family val="2"/>
        <charset val="128"/>
      </rPr>
      <t>M</t>
    </r>
    <r>
      <rPr>
        <sz val="14"/>
        <color rgb="FF000000"/>
        <rFont val="Meiryo UI"/>
        <family val="2"/>
        <charset val="128"/>
      </rPr>
      <t>)</t>
    </r>
    <phoneticPr fontId="1"/>
  </si>
  <si>
    <r>
      <t>BINARY(</t>
    </r>
    <r>
      <rPr>
        <b/>
        <sz val="14"/>
        <color rgb="FF000000"/>
        <rFont val="Meiryo UI"/>
        <family val="2"/>
        <charset val="128"/>
      </rPr>
      <t>M</t>
    </r>
    <r>
      <rPr>
        <sz val="14"/>
        <color rgb="FF000000"/>
        <rFont val="Meiryo UI"/>
        <family val="2"/>
        <charset val="128"/>
      </rPr>
      <t>)</t>
    </r>
    <phoneticPr fontId="1"/>
  </si>
  <si>
    <r>
      <t>VARBINARY(</t>
    </r>
    <r>
      <rPr>
        <b/>
        <sz val="14"/>
        <color rgb="FF000000"/>
        <rFont val="Meiryo UI"/>
        <family val="2"/>
        <charset val="128"/>
      </rPr>
      <t>M</t>
    </r>
    <r>
      <rPr>
        <sz val="14"/>
        <color rgb="FF000000"/>
        <rFont val="Meiryo UI"/>
        <family val="2"/>
        <charset val="128"/>
      </rPr>
      <t>)</t>
    </r>
  </si>
  <si>
    <t>ENGINE</t>
    <phoneticPr fontId="1"/>
  </si>
  <si>
    <t>InnoDB</t>
    <phoneticPr fontId="1"/>
  </si>
  <si>
    <t>CHARSET</t>
    <phoneticPr fontId="1"/>
  </si>
  <si>
    <t>utf8mb4</t>
    <phoneticPr fontId="1"/>
  </si>
  <si>
    <t>m000_sample</t>
  </si>
  <si>
    <t>ユニークID</t>
    <phoneticPr fontId="1"/>
  </si>
  <si>
    <t>id</t>
    <phoneticPr fontId="1"/>
  </si>
  <si>
    <t>created_user_id</t>
    <phoneticPr fontId="1"/>
  </si>
  <si>
    <t>updated_user_id</t>
    <phoneticPr fontId="1"/>
  </si>
  <si>
    <t>is_used</t>
    <phoneticPr fontId="1"/>
  </si>
  <si>
    <t>システム名</t>
    <phoneticPr fontId="1"/>
  </si>
  <si>
    <t>サブシステム名</t>
    <phoneticPr fontId="1"/>
  </si>
  <si>
    <t>2019/2/5</t>
    <phoneticPr fontId="1"/>
  </si>
  <si>
    <t>8.0</t>
  </si>
  <si>
    <t>8.0</t>
    <phoneticPr fontId="1"/>
  </si>
  <si>
    <t>&lt; 5.5</t>
    <phoneticPr fontId="1"/>
  </si>
  <si>
    <t>&gt; 8.0</t>
    <phoneticPr fontId="1"/>
  </si>
  <si>
    <t>MySQL version</t>
    <phoneticPr fontId="1"/>
  </si>
  <si>
    <t>※本シートは削除しないでください！（名前の定義で利用しており、プルダウンリストに使用しているため、消すと正しく動作しません）</t>
    <rPh sb="1" eb="2">
      <t>ホンシートハ</t>
    </rPh>
    <rPh sb="6" eb="8">
      <t>サクジョ</t>
    </rPh>
    <rPh sb="18" eb="20">
      <t>ナマエ</t>
    </rPh>
    <rPh sb="24" eb="26">
      <t>リヨウ</t>
    </rPh>
    <rPh sb="40" eb="42">
      <t>シヨウシテイルタメ</t>
    </rPh>
    <rPh sb="49" eb="50">
      <t>ケスト</t>
    </rPh>
    <rPh sb="52" eb="53">
      <t>タダシクドウサ</t>
    </rPh>
    <phoneticPr fontId="1"/>
  </si>
  <si>
    <t>プルダウンマスタ</t>
    <phoneticPr fontId="1"/>
  </si>
  <si>
    <t>ツールで使用可能な型の選択肢は、型シートの対象（C列）に「○」とマルがついているものになります。
○ではなく「ー」となっている型は、今回対象外としています。もし必要であれば、用途に応じてプログラムの改修をする必要があります。ご自由にプログラムを変更していただいて構いませんが、コードの変更をされた場合はサポート対象外とさせていただきますので、あらかじめご了承ください。</t>
    <rPh sb="4" eb="6">
      <t>シヨウ</t>
    </rPh>
    <rPh sb="6" eb="8">
      <t>カノウ</t>
    </rPh>
    <rPh sb="9" eb="10">
      <t>カタ</t>
    </rPh>
    <rPh sb="11" eb="14">
      <t>センタクシ</t>
    </rPh>
    <rPh sb="16" eb="17">
      <t>カタ</t>
    </rPh>
    <rPh sb="21" eb="23">
      <t>タイショウ</t>
    </rPh>
    <rPh sb="25" eb="26">
      <t>レツ</t>
    </rPh>
    <rPh sb="63" eb="64">
      <t>カタ</t>
    </rPh>
    <rPh sb="66" eb="67">
      <t>コンカイノ</t>
    </rPh>
    <rPh sb="68" eb="70">
      <t>タイショウガイ</t>
    </rPh>
    <rPh sb="77" eb="78">
      <t>リヨウ</t>
    </rPh>
    <rPh sb="80" eb="82">
      <t>ヒツヨウデアレバ</t>
    </rPh>
    <rPh sb="91" eb="93">
      <t>ツイカ</t>
    </rPh>
    <rPh sb="99" eb="101">
      <t>カイシュウ</t>
    </rPh>
    <rPh sb="104" eb="106">
      <t>ヒツヨウガアリマス</t>
    </rPh>
    <rPh sb="122" eb="124">
      <t>ヘンコウ</t>
    </rPh>
    <rPh sb="142" eb="144">
      <t>ヘンコウヲ</t>
    </rPh>
    <rPh sb="155" eb="158">
      <t>タイショウガイ</t>
    </rPh>
    <phoneticPr fontId="1"/>
  </si>
  <si>
    <t>MyISAM</t>
    <phoneticPr fontId="1"/>
  </si>
  <si>
    <t>CSV</t>
    <phoneticPr fontId="1"/>
  </si>
  <si>
    <t>←デフォルト</t>
    <phoneticPr fontId="1"/>
  </si>
  <si>
    <t>mysql&gt; SHOW CHARACTER SET;</t>
  </si>
  <si>
    <t>+----------+---------------------------------+---------------------+--------+</t>
  </si>
  <si>
    <t>41 rows in set (0.01 sec)</t>
  </si>
  <si>
    <t xml:space="preserve"> Description                     </t>
  </si>
  <si>
    <t xml:space="preserve"> Default collation   </t>
  </si>
  <si>
    <t xml:space="preserve"> Maxlen </t>
  </si>
  <si>
    <t xml:space="preserve"> armscii8 </t>
  </si>
  <si>
    <t xml:space="preserve"> ARMSCII-8 Armenian              </t>
  </si>
  <si>
    <t xml:space="preserve"> armscii8_general_ci </t>
  </si>
  <si>
    <t xml:space="preserve"> ascii    </t>
  </si>
  <si>
    <t xml:space="preserve"> US ASCII                        </t>
  </si>
  <si>
    <t xml:space="preserve"> ascii_general_ci    </t>
  </si>
  <si>
    <t xml:space="preserve"> big5     </t>
  </si>
  <si>
    <t xml:space="preserve"> Big5 Traditional Chinese        </t>
  </si>
  <si>
    <t xml:space="preserve"> big5_chinese_ci     </t>
  </si>
  <si>
    <t xml:space="preserve"> binary   </t>
  </si>
  <si>
    <t xml:space="preserve"> Binary pseudo charset           </t>
  </si>
  <si>
    <t xml:space="preserve"> binary              </t>
  </si>
  <si>
    <t xml:space="preserve"> cp1250   </t>
  </si>
  <si>
    <t xml:space="preserve"> Windows Central European        </t>
  </si>
  <si>
    <t xml:space="preserve"> cp1250_general_ci   </t>
  </si>
  <si>
    <t xml:space="preserve"> cp1251   </t>
  </si>
  <si>
    <t xml:space="preserve"> Windows Cyrillic                </t>
  </si>
  <si>
    <t xml:space="preserve"> cp1251_general_ci   </t>
  </si>
  <si>
    <t xml:space="preserve"> cp1256   </t>
  </si>
  <si>
    <t xml:space="preserve"> Windows Arabic                  </t>
  </si>
  <si>
    <t xml:space="preserve"> cp1256_general_ci   </t>
  </si>
  <si>
    <t xml:space="preserve"> cp1257   </t>
  </si>
  <si>
    <t xml:space="preserve"> Windows Baltic                  </t>
  </si>
  <si>
    <t xml:space="preserve"> cp1257_general_ci   </t>
  </si>
  <si>
    <t xml:space="preserve"> cp850    </t>
  </si>
  <si>
    <t xml:space="preserve"> DOS West European               </t>
  </si>
  <si>
    <t xml:space="preserve"> cp850_general_ci    </t>
  </si>
  <si>
    <t xml:space="preserve"> cp852    </t>
  </si>
  <si>
    <t xml:space="preserve"> DOS Central European            </t>
  </si>
  <si>
    <t xml:space="preserve"> cp852_general_ci    </t>
  </si>
  <si>
    <t xml:space="preserve"> cp866    </t>
  </si>
  <si>
    <t xml:space="preserve"> DOS Russian                     </t>
  </si>
  <si>
    <t xml:space="preserve"> cp866_general_ci    </t>
  </si>
  <si>
    <t xml:space="preserve"> cp932    </t>
  </si>
  <si>
    <t xml:space="preserve"> SJIS for Windows Japanese       </t>
  </si>
  <si>
    <t xml:space="preserve"> cp932_japanese_ci   </t>
  </si>
  <si>
    <t xml:space="preserve"> DEC West European               </t>
  </si>
  <si>
    <t xml:space="preserve"> dec8_swedish_ci     </t>
  </si>
  <si>
    <t xml:space="preserve"> eucjpms  </t>
  </si>
  <si>
    <t xml:space="preserve"> UJIS for Windows Japanese       </t>
  </si>
  <si>
    <t xml:space="preserve"> eucjpms_japanese_ci </t>
  </si>
  <si>
    <t xml:space="preserve"> euckr    </t>
  </si>
  <si>
    <t xml:space="preserve"> EUC-KR Korean                   </t>
  </si>
  <si>
    <t xml:space="preserve"> euckr_korean_ci     </t>
  </si>
  <si>
    <t xml:space="preserve"> gb18030  </t>
  </si>
  <si>
    <t xml:space="preserve"> China National Standard GB18030 </t>
  </si>
  <si>
    <t xml:space="preserve"> gb18030_chinese_ci  </t>
  </si>
  <si>
    <t xml:space="preserve"> gb2312   </t>
  </si>
  <si>
    <t xml:space="preserve"> GB2312 Simplified Chinese       </t>
  </si>
  <si>
    <t xml:space="preserve"> gb2312_chinese_ci   </t>
  </si>
  <si>
    <t xml:space="preserve"> gbk      </t>
  </si>
  <si>
    <t xml:space="preserve"> GBK Simplified Chinese          </t>
  </si>
  <si>
    <t xml:space="preserve"> gbk_chinese_ci      </t>
  </si>
  <si>
    <t xml:space="preserve"> geostd8  </t>
  </si>
  <si>
    <t xml:space="preserve"> GEOSTD8 Georgian                </t>
  </si>
  <si>
    <t xml:space="preserve"> geostd8_general_ci  </t>
  </si>
  <si>
    <t xml:space="preserve"> greek    </t>
  </si>
  <si>
    <t xml:space="preserve"> ISO 8859-7 Greek                </t>
  </si>
  <si>
    <t xml:space="preserve"> greek_general_ci    </t>
  </si>
  <si>
    <t xml:space="preserve"> hebrew   </t>
  </si>
  <si>
    <t xml:space="preserve"> ISO 8859-8 Hebrew               </t>
  </si>
  <si>
    <t xml:space="preserve"> hebrew_general_ci   </t>
  </si>
  <si>
    <t xml:space="preserve"> hp8      </t>
  </si>
  <si>
    <t xml:space="preserve"> HP West European                </t>
  </si>
  <si>
    <t xml:space="preserve"> hp8_english_ci      </t>
  </si>
  <si>
    <t xml:space="preserve"> keybcs2  </t>
  </si>
  <si>
    <t xml:space="preserve"> DOS Kamenicky Czech-Slovak      </t>
  </si>
  <si>
    <t xml:space="preserve"> keybcs2_general_ci  </t>
  </si>
  <si>
    <t xml:space="preserve"> koi8r    </t>
  </si>
  <si>
    <t xml:space="preserve"> KOI8-R Relcom Russian           </t>
  </si>
  <si>
    <t xml:space="preserve"> koi8r_general_ci    </t>
  </si>
  <si>
    <t xml:space="preserve"> koi8u    </t>
  </si>
  <si>
    <t xml:space="preserve"> KOI8-U Ukrainian                </t>
  </si>
  <si>
    <t xml:space="preserve"> koi8u_general_ci    </t>
  </si>
  <si>
    <t xml:space="preserve"> latin1   </t>
  </si>
  <si>
    <t xml:space="preserve"> cp1252 West European            </t>
  </si>
  <si>
    <t xml:space="preserve"> latin1_swedish_ci   </t>
  </si>
  <si>
    <t xml:space="preserve"> latin2   </t>
  </si>
  <si>
    <t xml:space="preserve"> ISO 8859-2 Central European     </t>
  </si>
  <si>
    <t xml:space="preserve"> latin2_general_ci   </t>
  </si>
  <si>
    <t xml:space="preserve"> latin5   </t>
  </si>
  <si>
    <t xml:space="preserve"> ISO 8859-9 Turkish              </t>
  </si>
  <si>
    <t xml:space="preserve"> latin5_turkish_ci   </t>
  </si>
  <si>
    <t xml:space="preserve"> latin7   </t>
  </si>
  <si>
    <t xml:space="preserve"> ISO 8859-13 Baltic              </t>
  </si>
  <si>
    <t xml:space="preserve"> latin7_general_ci   </t>
  </si>
  <si>
    <t xml:space="preserve"> macce    </t>
  </si>
  <si>
    <t xml:space="preserve"> Mac Central European            </t>
  </si>
  <si>
    <t xml:space="preserve"> macce_general_ci    </t>
  </si>
  <si>
    <t xml:space="preserve"> macroman </t>
  </si>
  <si>
    <t xml:space="preserve"> Mac West European               </t>
  </si>
  <si>
    <t xml:space="preserve"> macroman_general_ci </t>
  </si>
  <si>
    <t xml:space="preserve"> sjis     </t>
  </si>
  <si>
    <t xml:space="preserve"> Shift-JIS Japanese              </t>
  </si>
  <si>
    <t xml:space="preserve"> sjis_japanese_ci    </t>
  </si>
  <si>
    <t xml:space="preserve"> swe7     </t>
  </si>
  <si>
    <t xml:space="preserve"> 7bit Swedish                    </t>
  </si>
  <si>
    <t xml:space="preserve"> swe7_swedish_ci     </t>
  </si>
  <si>
    <t xml:space="preserve"> tis620   </t>
  </si>
  <si>
    <t xml:space="preserve"> TIS620 Thai                     </t>
  </si>
  <si>
    <t xml:space="preserve"> tis620_thai_ci      </t>
  </si>
  <si>
    <t xml:space="preserve"> ucs2     </t>
  </si>
  <si>
    <t xml:space="preserve"> UCS-2 Unicode                   </t>
  </si>
  <si>
    <t xml:space="preserve"> ucs2_general_ci     </t>
  </si>
  <si>
    <t xml:space="preserve"> ujis     </t>
  </si>
  <si>
    <t xml:space="preserve"> EUC-JP Japanese                 </t>
  </si>
  <si>
    <t xml:space="preserve"> ujis_japanese_ci    </t>
  </si>
  <si>
    <t xml:space="preserve"> utf16    </t>
  </si>
  <si>
    <t xml:space="preserve"> UTF-16 Unicode                  </t>
  </si>
  <si>
    <t xml:space="preserve"> utf16_general_ci    </t>
  </si>
  <si>
    <t xml:space="preserve"> utf16le  </t>
  </si>
  <si>
    <t xml:space="preserve"> UTF-16LE Unicode                </t>
  </si>
  <si>
    <t xml:space="preserve"> utf16le_general_ci  </t>
  </si>
  <si>
    <t xml:space="preserve"> utf32    </t>
  </si>
  <si>
    <t xml:space="preserve"> UTF-32 Unicode                  </t>
  </si>
  <si>
    <t xml:space="preserve"> utf32_general_ci    </t>
  </si>
  <si>
    <t xml:space="preserve"> utf8     </t>
  </si>
  <si>
    <t xml:space="preserve"> UTF-8 Unicode                   </t>
  </si>
  <si>
    <t xml:space="preserve"> utf8_general_ci     </t>
  </si>
  <si>
    <t xml:space="preserve"> utf8mb4  </t>
  </si>
  <si>
    <t xml:space="preserve"> utf8mb4_0900_ai_ci  </t>
  </si>
  <si>
    <t xml:space="preserve"> Charset  </t>
    <phoneticPr fontId="1"/>
  </si>
  <si>
    <t xml:space="preserve"> dec8     </t>
    <phoneticPr fontId="1"/>
  </si>
  <si>
    <t>armscii8</t>
  </si>
  <si>
    <t>ascii</t>
  </si>
  <si>
    <t>big5</t>
  </si>
  <si>
    <t>binary</t>
  </si>
  <si>
    <t>cp1250</t>
  </si>
  <si>
    <t>cp1251</t>
  </si>
  <si>
    <t>cp1256</t>
  </si>
  <si>
    <t>cp1257</t>
  </si>
  <si>
    <t>cp850</t>
  </si>
  <si>
    <t>cp852</t>
  </si>
  <si>
    <t>cp866</t>
  </si>
  <si>
    <t>cp932</t>
  </si>
  <si>
    <t>eucjpms</t>
  </si>
  <si>
    <t>euckr</t>
  </si>
  <si>
    <t>gb18030</t>
  </si>
  <si>
    <t>gb2312</t>
  </si>
  <si>
    <t>gbk</t>
  </si>
  <si>
    <t>geostd8</t>
  </si>
  <si>
    <t>greek</t>
  </si>
  <si>
    <t>hebrew</t>
  </si>
  <si>
    <t>hp8</t>
  </si>
  <si>
    <t>keybcs2</t>
  </si>
  <si>
    <t>koi8r</t>
  </si>
  <si>
    <t>koi8u</t>
  </si>
  <si>
    <t>latin1</t>
  </si>
  <si>
    <t>latin2</t>
  </si>
  <si>
    <t>latin5</t>
  </si>
  <si>
    <t>latin7</t>
  </si>
  <si>
    <t>macce</t>
  </si>
  <si>
    <t>macroman</t>
  </si>
  <si>
    <t>sjis</t>
  </si>
  <si>
    <t>swe7</t>
  </si>
  <si>
    <t>tis620</t>
  </si>
  <si>
    <t>ucs2</t>
  </si>
  <si>
    <t>ujis</t>
  </si>
  <si>
    <t>utf16</t>
  </si>
  <si>
    <t>utf16le</t>
  </si>
  <si>
    <t>utf32</t>
  </si>
  <si>
    <t>utf8</t>
  </si>
  <si>
    <t>utf8mb4</t>
  </si>
  <si>
    <t>dec8</t>
    <phoneticPr fontId="1"/>
  </si>
  <si>
    <t>備考</t>
    <rPh sb="0" eb="2">
      <t>ビコウ</t>
    </rPh>
    <phoneticPr fontId="1"/>
  </si>
  <si>
    <t>マスタデータ</t>
  </si>
  <si>
    <t>データ区分</t>
    <rPh sb="3" eb="5">
      <t>クブン</t>
    </rPh>
    <phoneticPr fontId="1"/>
  </si>
  <si>
    <t>created</t>
    <phoneticPr fontId="1"/>
  </si>
  <si>
    <t>updated</t>
    <phoneticPr fontId="1"/>
  </si>
  <si>
    <t>user_id</t>
    <phoneticPr fontId="1"/>
  </si>
  <si>
    <t>user_name</t>
    <phoneticPr fontId="1"/>
  </si>
  <si>
    <t>利用者ID</t>
    <rPh sb="0" eb="3">
      <t>リヨウシャ</t>
    </rPh>
    <phoneticPr fontId="1"/>
  </si>
  <si>
    <t>利用者名</t>
    <rPh sb="0" eb="1">
      <t>リヨウシャメイ</t>
    </rPh>
    <phoneticPr fontId="1"/>
  </si>
  <si>
    <t>VARCHAR(M)</t>
  </si>
  <si>
    <t>有効フラグ</t>
    <rPh sb="0" eb="2">
      <t>ユウコウ</t>
    </rPh>
    <phoneticPr fontId="1"/>
  </si>
  <si>
    <t>登録日時</t>
    <rPh sb="0" eb="2">
      <t>トウロク</t>
    </rPh>
    <rPh sb="2" eb="4">
      <t>ニチジ</t>
    </rPh>
    <phoneticPr fontId="1"/>
  </si>
  <si>
    <t>登録者ID</t>
    <rPh sb="0" eb="1">
      <t>トウロクシャ</t>
    </rPh>
    <phoneticPr fontId="1"/>
  </si>
  <si>
    <t>更新日時</t>
    <rPh sb="0" eb="2">
      <t>コウシン</t>
    </rPh>
    <rPh sb="2" eb="4">
      <t>ニチジ</t>
    </rPh>
    <phoneticPr fontId="1"/>
  </si>
  <si>
    <t>更新者ID</t>
    <rPh sb="0" eb="1">
      <t>コウシンシャ</t>
    </rPh>
    <phoneticPr fontId="1"/>
  </si>
  <si>
    <t>コメント</t>
    <phoneticPr fontId="1"/>
  </si>
  <si>
    <t>作成日</t>
    <phoneticPr fontId="1"/>
  </si>
  <si>
    <t>Aシステム</t>
    <phoneticPr fontId="1"/>
  </si>
  <si>
    <t>M000ユーザマスタ</t>
    <phoneticPr fontId="1"/>
  </si>
  <si>
    <t>利用者ID</t>
    <rPh sb="0" eb="3">
      <t xml:space="preserve">リヨウシャ </t>
    </rPh>
    <phoneticPr fontId="1"/>
  </si>
  <si>
    <t>○○システム</t>
    <phoneticPr fontId="1"/>
  </si>
  <si>
    <t>主キー
PRIMARY KEY</t>
    <rPh sb="0" eb="1">
      <t xml:space="preserve">シュキー </t>
    </rPh>
    <phoneticPr fontId="1"/>
  </si>
  <si>
    <t>必須
NOT NULL</t>
    <rPh sb="0" eb="2">
      <t xml:space="preserve">ヒッス </t>
    </rPh>
    <phoneticPr fontId="1"/>
  </si>
  <si>
    <t>数値型</t>
    <phoneticPr fontId="1"/>
  </si>
  <si>
    <t>文字列型</t>
    <phoneticPr fontId="1"/>
  </si>
  <si>
    <t>テーブル情報</t>
    <phoneticPr fontId="1"/>
  </si>
  <si>
    <r>
      <t>BIGINT</t>
    </r>
    <r>
      <rPr>
        <b/>
        <sz val="12"/>
        <color theme="9"/>
        <rFont val="メイリオ"/>
        <family val="2"/>
        <charset val="128"/>
      </rPr>
      <t xml:space="preserve"> </t>
    </r>
    <r>
      <rPr>
        <b/>
        <sz val="12"/>
        <color rgb="FF0070C0"/>
        <rFont val="メイリオ"/>
        <family val="2"/>
        <charset val="128"/>
      </rPr>
      <t>[UNSIGNED] [NOT NULL]</t>
    </r>
    <r>
      <rPr>
        <b/>
        <sz val="12"/>
        <color theme="9"/>
        <rFont val="メイリオ"/>
        <family val="2"/>
        <charset val="128"/>
      </rPr>
      <t xml:space="preserve"> [AUTO_INCREMENT] [UNIQUE]</t>
    </r>
    <phoneticPr fontId="1"/>
  </si>
  <si>
    <r>
      <t>DOUBLE[(M,D)]</t>
    </r>
    <r>
      <rPr>
        <b/>
        <sz val="12"/>
        <color rgb="FF0070C0"/>
        <rFont val="メイリオ"/>
        <family val="2"/>
        <charset val="128"/>
      </rPr>
      <t xml:space="preserve"> [UNSIGNED] [ZEROFILL]</t>
    </r>
    <phoneticPr fontId="1"/>
  </si>
  <si>
    <t>スキーマ名 *</t>
    <phoneticPr fontId="1"/>
  </si>
  <si>
    <t>物理テーブル名 *</t>
    <phoneticPr fontId="1"/>
  </si>
  <si>
    <t>論理テーブル名 *</t>
    <phoneticPr fontId="1"/>
  </si>
  <si>
    <t>利用目的 *</t>
    <rPh sb="0" eb="2">
      <t>リヨウ</t>
    </rPh>
    <rPh sb="2" eb="4">
      <t>モクテキ</t>
    </rPh>
    <phoneticPr fontId="1"/>
  </si>
  <si>
    <t>MySQL ver *</t>
    <phoneticPr fontId="1"/>
  </si>
  <si>
    <t>ENGINE *</t>
    <phoneticPr fontId="1"/>
  </si>
  <si>
    <t>CHARSET *</t>
    <phoneticPr fontId="1"/>
  </si>
  <si>
    <t>物理カラム名 *
Column Name</t>
    <rPh sb="0" eb="2">
      <t xml:space="preserve">ブツリ </t>
    </rPh>
    <phoneticPr fontId="1"/>
  </si>
  <si>
    <t>論理カラム名 *
Column Comment</t>
    <rPh sb="0" eb="6">
      <t>ロンリメイ</t>
    </rPh>
    <phoneticPr fontId="1"/>
  </si>
  <si>
    <t>型分類 *
Data Type</t>
    <rPh sb="1" eb="3">
      <t xml:space="preserve">ブンルイ </t>
    </rPh>
    <phoneticPr fontId="1"/>
  </si>
  <si>
    <t>データ型 *
Data Type Detail</t>
    <phoneticPr fontId="1"/>
  </si>
  <si>
    <t>(*)入力必須</t>
    <rPh sb="3" eb="7">
      <t xml:space="preserve">ニュウリョクヒッス </t>
    </rPh>
    <phoneticPr fontId="1"/>
  </si>
  <si>
    <t>数値型</t>
    <rPh sb="0" eb="3">
      <t xml:space="preserve">スウチガタ </t>
    </rPh>
    <phoneticPr fontId="1"/>
  </si>
  <si>
    <t>数値・文字列型</t>
    <rPh sb="0" eb="2">
      <t xml:space="preserve">スウチガタ </t>
    </rPh>
    <rPh sb="3" eb="6">
      <t xml:space="preserve">モジレツ </t>
    </rPh>
    <rPh sb="6" eb="7">
      <t xml:space="preserve">ガタ </t>
    </rPh>
    <phoneticPr fontId="1"/>
  </si>
  <si>
    <t>SQL作成結果</t>
    <rPh sb="3" eb="5">
      <t xml:space="preserve">サクセイ </t>
    </rPh>
    <rPh sb="5" eb="7">
      <t xml:space="preserve">ケッカ </t>
    </rPh>
    <phoneticPr fontId="1"/>
  </si>
  <si>
    <t>Check
結果</t>
    <rPh sb="5" eb="7">
      <t xml:space="preserve">ケッカ </t>
    </rPh>
    <phoneticPr fontId="1"/>
  </si>
  <si>
    <t>ツール用</t>
    <rPh sb="3" eb="4">
      <t xml:space="preserve">ヨウ </t>
    </rPh>
    <phoneticPr fontId="1"/>
  </si>
  <si>
    <t>OS</t>
    <phoneticPr fontId="1"/>
  </si>
  <si>
    <t>機能要件</t>
    <rPh sb="0" eb="2">
      <t xml:space="preserve">キノウ </t>
    </rPh>
    <rPh sb="2" eb="4">
      <t xml:space="preserve">ヨウケン </t>
    </rPh>
    <phoneticPr fontId="1"/>
  </si>
  <si>
    <t>SQL文作成</t>
    <rPh sb="3" eb="4">
      <t xml:space="preserve">ブン </t>
    </rPh>
    <rPh sb="4" eb="6">
      <t xml:space="preserve">サクセイ </t>
    </rPh>
    <phoneticPr fontId="1"/>
  </si>
  <si>
    <t>入力シートの内容を別ブックで保存</t>
    <rPh sb="0" eb="2">
      <t xml:space="preserve">ニュウリョク </t>
    </rPh>
    <rPh sb="6" eb="8">
      <t xml:space="preserve">ナイヨウヲ </t>
    </rPh>
    <rPh sb="9" eb="10">
      <t xml:space="preserve">ベツブック </t>
    </rPh>
    <phoneticPr fontId="1"/>
  </si>
  <si>
    <t>別ブックで保存</t>
    <rPh sb="0" eb="1">
      <t xml:space="preserve">ベツ </t>
    </rPh>
    <rPh sb="5" eb="7">
      <t xml:space="preserve">ホゾン </t>
    </rPh>
    <phoneticPr fontId="1"/>
  </si>
  <si>
    <t>動作環境</t>
    <rPh sb="0" eb="2">
      <t xml:space="preserve">ドウサ </t>
    </rPh>
    <rPh sb="2" eb="4">
      <t xml:space="preserve">カンキョウ </t>
    </rPh>
    <phoneticPr fontId="1"/>
  </si>
  <si>
    <t>※以下の環境で動作することを確認</t>
    <rPh sb="1" eb="3">
      <t xml:space="preserve">イカノ </t>
    </rPh>
    <rPh sb="4" eb="6">
      <t xml:space="preserve">カンキョウガイデ </t>
    </rPh>
    <phoneticPr fontId="1"/>
  </si>
  <si>
    <t>MySQL</t>
    <phoneticPr fontId="1"/>
  </si>
  <si>
    <t>備考</t>
    <rPh sb="0" eb="2">
      <t xml:space="preserve">ビコウ </t>
    </rPh>
    <phoneticPr fontId="1"/>
  </si>
  <si>
    <t>機能</t>
    <rPh sb="0" eb="2">
      <t xml:space="preserve">キノウ </t>
    </rPh>
    <phoneticPr fontId="1"/>
  </si>
  <si>
    <t>大</t>
    <rPh sb="0" eb="1">
      <t xml:space="preserve">ダイ </t>
    </rPh>
    <phoneticPr fontId="1"/>
  </si>
  <si>
    <t>中</t>
    <rPh sb="0" eb="1">
      <t xml:space="preserve">チュウ </t>
    </rPh>
    <phoneticPr fontId="1"/>
  </si>
  <si>
    <t>入力されたテーブル定義情報の内容が正しいかチェック（簡易版）</t>
    <rPh sb="0" eb="1">
      <t xml:space="preserve">ニュウリョクサレタ </t>
    </rPh>
    <rPh sb="5" eb="9">
      <t>テーブルテ</t>
    </rPh>
    <rPh sb="9" eb="10">
      <t xml:space="preserve">テイギジョウホウガ </t>
    </rPh>
    <rPh sb="26" eb="28">
      <t xml:space="preserve">カンイ </t>
    </rPh>
    <rPh sb="28" eb="29">
      <t xml:space="preserve">バン </t>
    </rPh>
    <phoneticPr fontId="1"/>
  </si>
  <si>
    <t>カラム情報の入力値チェック</t>
    <rPh sb="3" eb="5">
      <t xml:space="preserve">ジョウホウ </t>
    </rPh>
    <rPh sb="6" eb="8">
      <t xml:space="preserve">ニュウリョクチェック </t>
    </rPh>
    <rPh sb="8" eb="9">
      <t xml:space="preserve">チ </t>
    </rPh>
    <phoneticPr fontId="1"/>
  </si>
  <si>
    <t>入力値チェック</t>
    <rPh sb="0" eb="2">
      <t xml:space="preserve">ニュウリョクチェック </t>
    </rPh>
    <rPh sb="2" eb="3">
      <t xml:space="preserve">チ </t>
    </rPh>
    <phoneticPr fontId="1"/>
  </si>
  <si>
    <t>テーブル情報の入力値チェック</t>
    <rPh sb="7" eb="10">
      <t xml:space="preserve">ニュウリョクチ </t>
    </rPh>
    <phoneticPr fontId="1"/>
  </si>
  <si>
    <t>テーブル情報の必須項目について値をチェック</t>
    <rPh sb="7" eb="9">
      <t xml:space="preserve">ヒッス </t>
    </rPh>
    <rPh sb="15" eb="16">
      <t xml:space="preserve">アタイヲ </t>
    </rPh>
    <phoneticPr fontId="1"/>
  </si>
  <si>
    <t>カラム情報の必須項目について値をチェック</t>
    <rPh sb="6" eb="8">
      <t xml:space="preserve">ヒッス </t>
    </rPh>
    <rPh sb="8" eb="10">
      <t xml:space="preserve">コウモクニツイテ </t>
    </rPh>
    <rPh sb="14" eb="15">
      <t xml:space="preserve">アタイヲ </t>
    </rPh>
    <phoneticPr fontId="1"/>
  </si>
  <si>
    <t>Create table SQL</t>
    <phoneticPr fontId="1"/>
  </si>
  <si>
    <t>CreateTableのSQL作成</t>
    <rPh sb="15" eb="17">
      <t xml:space="preserve">サクセイ </t>
    </rPh>
    <phoneticPr fontId="1"/>
  </si>
  <si>
    <t>テーブル作成のSQL文を自動で作成</t>
    <rPh sb="0" eb="17">
      <t xml:space="preserve">テーブルサクセイノ ブンヲ ジドウデサクセイ </t>
    </rPh>
    <phoneticPr fontId="1"/>
  </si>
  <si>
    <t>アクションボタン</t>
    <phoneticPr fontId="1"/>
  </si>
  <si>
    <t>「CreateSQL」ボタン</t>
    <phoneticPr fontId="1"/>
  </si>
  <si>
    <t>入力されたテーブル定義情報をもとに、SQL文を作成</t>
    <rPh sb="2" eb="4">
      <t xml:space="preserve">ジョウホウ </t>
    </rPh>
    <rPh sb="12" eb="13">
      <t xml:space="preserve">ブンヲ </t>
    </rPh>
    <phoneticPr fontId="1"/>
  </si>
  <si>
    <t>データ保存</t>
    <rPh sb="3" eb="5">
      <t xml:space="preserve">ホゾン </t>
    </rPh>
    <phoneticPr fontId="1"/>
  </si>
  <si>
    <t>入力されたテーブル定義書やSQL文を保存</t>
    <rPh sb="0" eb="2">
      <t xml:space="preserve">ニュウリョクサレタ </t>
    </rPh>
    <rPh sb="16" eb="17">
      <t xml:space="preserve">ブンヲ </t>
    </rPh>
    <rPh sb="18" eb="20">
      <t xml:space="preserve">ホゾンスル </t>
    </rPh>
    <phoneticPr fontId="1"/>
  </si>
  <si>
    <t>「Copy CreateSQL」ボタン</t>
    <phoneticPr fontId="1"/>
  </si>
  <si>
    <t>シート形式チェック</t>
    <rPh sb="3" eb="5">
      <t xml:space="preserve">ケイシキ </t>
    </rPh>
    <phoneticPr fontId="1"/>
  </si>
  <si>
    <t>入力シートの体裁が崩れていないかチェック</t>
    <rPh sb="0" eb="2">
      <t xml:space="preserve">ニュウリョクシートノ </t>
    </rPh>
    <rPh sb="6" eb="8">
      <t xml:space="preserve">テイサイガ </t>
    </rPh>
    <rPh sb="9" eb="10">
      <t xml:space="preserve">クズレテイナイカ </t>
    </rPh>
    <phoneticPr fontId="1"/>
  </si>
  <si>
    <t>同上</t>
    <rPh sb="0" eb="2">
      <t xml:space="preserve">ドウジョウ </t>
    </rPh>
    <phoneticPr fontId="1"/>
  </si>
  <si>
    <t>同上</t>
    <rPh sb="0" eb="1">
      <t xml:space="preserve">ドウジョウ </t>
    </rPh>
    <phoneticPr fontId="1"/>
  </si>
  <si>
    <t>各種ボタン</t>
    <rPh sb="0" eb="2">
      <t xml:space="preserve">カクシュ </t>
    </rPh>
    <phoneticPr fontId="1"/>
  </si>
  <si>
    <t>「Save Sheet」ボタン</t>
    <phoneticPr fontId="1"/>
  </si>
  <si>
    <t>説明（概要）</t>
    <rPh sb="0" eb="2">
      <t xml:space="preserve">セツメイ </t>
    </rPh>
    <rPh sb="3" eb="5">
      <t xml:space="preserve">ガイヨウ </t>
    </rPh>
    <phoneticPr fontId="1"/>
  </si>
  <si>
    <t>実装状況</t>
    <rPh sb="0" eb="2">
      <t xml:space="preserve">ジッソウズミ </t>
    </rPh>
    <rPh sb="2" eb="4">
      <t xml:space="preserve">ジョウキョウ </t>
    </rPh>
    <phoneticPr fontId="1"/>
  </si>
  <si>
    <t>制約事項</t>
    <rPh sb="0" eb="4">
      <t xml:space="preserve">セイヤクジコウ </t>
    </rPh>
    <phoneticPr fontId="1"/>
  </si>
  <si>
    <t>例）「m001_usr_masters」</t>
    <phoneticPr fontId="1"/>
  </si>
  <si>
    <t>・インデックス名はツールで定めるため、入力指定できません。</t>
    <rPh sb="7" eb="8">
      <t xml:space="preserve">メイ </t>
    </rPh>
    <rPh sb="13" eb="14">
      <t xml:space="preserve">サダメルタメ </t>
    </rPh>
    <rPh sb="19" eb="21">
      <t xml:space="preserve">ニュウリョク </t>
    </rPh>
    <rPh sb="21" eb="23">
      <t xml:space="preserve">シテイ </t>
    </rPh>
    <phoneticPr fontId="1"/>
  </si>
  <si>
    <t>例）「m001_index1」</t>
    <phoneticPr fontId="1"/>
  </si>
  <si>
    <t>・テーブル名、カラム名は、小文字の英数字と「_」のみ入力可（大文字は入力不可）とします。</t>
    <rPh sb="1" eb="2">
      <t xml:space="preserve">テーブルメイ </t>
    </rPh>
    <rPh sb="13" eb="16">
      <t xml:space="preserve">コモジノミ </t>
    </rPh>
    <rPh sb="17" eb="20">
      <t xml:space="preserve">エイスウジト </t>
    </rPh>
    <rPh sb="26" eb="28">
      <t xml:space="preserve">ニュウリョクカ </t>
    </rPh>
    <rPh sb="28" eb="29">
      <t xml:space="preserve">カ </t>
    </rPh>
    <rPh sb="30" eb="33">
      <t xml:space="preserve">オオモジ </t>
    </rPh>
    <rPh sb="34" eb="36">
      <t xml:space="preserve">ニュウリョク </t>
    </rPh>
    <rPh sb="36" eb="38">
      <t xml:space="preserve">フカ </t>
    </rPh>
    <phoneticPr fontId="1"/>
  </si>
  <si>
    <t>定義）［インデックス名］＝［テーブル識別子］＋「_index」＋自動連番（1〜3）</t>
    <rPh sb="0" eb="2">
      <t xml:space="preserve">テイギ </t>
    </rPh>
    <rPh sb="18" eb="20">
      <t xml:space="preserve">セントウ </t>
    </rPh>
    <rPh sb="21" eb="23">
      <t xml:space="preserve">モジ </t>
    </rPh>
    <rPh sb="34" eb="36">
      <t xml:space="preserve">ジドウ </t>
    </rPh>
    <rPh sb="36" eb="38">
      <t xml:space="preserve">レンバン </t>
    </rPh>
    <phoneticPr fontId="1"/>
  </si>
  <si>
    <t>・テーブル名の先頭4文字は、必ず「アルファベット1文字」「数字3桁」で入力してください。ツール上、これを「テーブル識別子」と定義します。</t>
    <rPh sb="57" eb="60">
      <t xml:space="preserve">シキベツシ </t>
    </rPh>
    <rPh sb="62" eb="64">
      <t xml:space="preserve">テイギ </t>
    </rPh>
    <phoneticPr fontId="1"/>
  </si>
  <si>
    <t>定義）［テーブル識別子］＝「アルファベット1文字」＋「数字3桁」</t>
    <rPh sb="0" eb="2">
      <t xml:space="preserve">テイギ </t>
    </rPh>
    <rPh sb="20" eb="22">
      <t xml:space="preserve">セントウ </t>
    </rPh>
    <rPh sb="23" eb="25">
      <t xml:space="preserve">モジ ジドウ レンバン </t>
    </rPh>
    <phoneticPr fontId="1"/>
  </si>
  <si>
    <t>データ型は、一部対応していないものがあります。型シートで対象に「○」がついているもののみ利用可能です。</t>
    <rPh sb="3" eb="4">
      <t xml:space="preserve">ガタ </t>
    </rPh>
    <rPh sb="6" eb="8">
      <t xml:space="preserve">イチブ </t>
    </rPh>
    <rPh sb="8" eb="10">
      <t xml:space="preserve">タイオウ </t>
    </rPh>
    <rPh sb="23" eb="24">
      <t xml:space="preserve">カタ </t>
    </rPh>
    <rPh sb="28" eb="30">
      <t xml:space="preserve">タイショウ </t>
    </rPh>
    <rPh sb="44" eb="46">
      <t xml:space="preserve">リヨウデキマス </t>
    </rPh>
    <rPh sb="46" eb="48">
      <t xml:space="preserve">カノウ </t>
    </rPh>
    <phoneticPr fontId="1"/>
  </si>
  <si>
    <t>理由）出力時のシート名で利用、かつインデックスの識別子（一部）に利用していますので、値が正しくないと動作しません。</t>
    <phoneticPr fontId="1"/>
  </si>
  <si>
    <t>・インデックス数は最大3件まで、一つのインデックスにおけるカラム数は最大10件までです。</t>
    <rPh sb="1" eb="2">
      <t>インデックスウス</t>
    </rPh>
    <rPh sb="7" eb="8">
      <t xml:space="preserve">スウ </t>
    </rPh>
    <rPh sb="9" eb="11">
      <t xml:space="preserve">サイダイ </t>
    </rPh>
    <rPh sb="12" eb="13">
      <t xml:space="preserve">ケン </t>
    </rPh>
    <rPh sb="16" eb="17">
      <t xml:space="preserve">ヒトツノ </t>
    </rPh>
    <rPh sb="32" eb="33">
      <t xml:space="preserve">スウ </t>
    </rPh>
    <rPh sb="34" eb="36">
      <t xml:space="preserve">サイダイ </t>
    </rPh>
    <rPh sb="38" eb="39">
      <t xml:space="preserve">ケン </t>
    </rPh>
    <phoneticPr fontId="1"/>
  </si>
  <si>
    <t>・複合主キーのカラム数の上限は最大5件までです。</t>
    <rPh sb="1" eb="3">
      <t xml:space="preserve">フクゴウ </t>
    </rPh>
    <rPh sb="3" eb="4">
      <t xml:space="preserve">シュキー </t>
    </rPh>
    <rPh sb="12" eb="14">
      <t xml:space="preserve">ジョウゲンハ </t>
    </rPh>
    <rPh sb="15" eb="17">
      <t xml:space="preserve">サイダイ </t>
    </rPh>
    <rPh sb="18" eb="19">
      <t xml:space="preserve">ケン </t>
    </rPh>
    <phoneticPr fontId="1"/>
  </si>
  <si>
    <t>・カラム数の上限は最大50件までです。</t>
    <rPh sb="6" eb="8">
      <t xml:space="preserve">ジョウゲンハ </t>
    </rPh>
    <rPh sb="9" eb="11">
      <t xml:space="preserve">サイダイ </t>
    </rPh>
    <rPh sb="13" eb="14">
      <t xml:space="preserve">ケンマデ </t>
    </rPh>
    <phoneticPr fontId="1"/>
  </si>
  <si>
    <t>○</t>
  </si>
  <si>
    <t>ツール動作の安定化を図るため、以下のルールに沿った入力制限を設けています。</t>
    <rPh sb="3" eb="5">
      <t xml:space="preserve">ドウサヲ </t>
    </rPh>
    <rPh sb="6" eb="9">
      <t xml:space="preserve">アンテイカ </t>
    </rPh>
    <rPh sb="10" eb="11">
      <t xml:space="preserve">ハカル </t>
    </rPh>
    <rPh sb="15" eb="17">
      <t xml:space="preserve">イカノ </t>
    </rPh>
    <rPh sb="22" eb="23">
      <t xml:space="preserve">ソッタ </t>
    </rPh>
    <rPh sb="25" eb="27">
      <t xml:space="preserve">ニュウリョク </t>
    </rPh>
    <rPh sb="30" eb="31">
      <t xml:space="preserve">モウケテ </t>
    </rPh>
    <phoneticPr fontId="1"/>
  </si>
  <si>
    <t>※ご要望をいただければ、できる限り対応させていただきます</t>
    <rPh sb="17" eb="19">
      <t xml:space="preserve">タイオウシマス </t>
    </rPh>
    <phoneticPr fontId="1"/>
  </si>
  <si>
    <t>ID</t>
    <phoneticPr fontId="1"/>
  </si>
  <si>
    <t>INDEX
1</t>
    <phoneticPr fontId="1"/>
  </si>
  <si>
    <t>INDEX
2</t>
    <phoneticPr fontId="1"/>
  </si>
  <si>
    <t>INDEX
3</t>
    <phoneticPr fontId="1"/>
  </si>
  <si>
    <t>実行結果</t>
    <rPh sb="0" eb="4">
      <t xml:space="preserve">ジッコウケッカ </t>
    </rPh>
    <phoneticPr fontId="1"/>
  </si>
  <si>
    <t>SQL文</t>
    <rPh sb="0" eb="3">
      <t>SQL</t>
    </rPh>
    <rPh sb="3" eb="4">
      <t xml:space="preserve">ブン </t>
    </rPh>
    <phoneticPr fontId="1"/>
  </si>
  <si>
    <t>(M)</t>
    <phoneticPr fontId="1"/>
  </si>
  <si>
    <t>(D)</t>
    <phoneticPr fontId="1"/>
  </si>
  <si>
    <t>ー</t>
  </si>
  <si>
    <r>
      <t>TIME[(</t>
    </r>
    <r>
      <rPr>
        <b/>
        <sz val="14"/>
        <color theme="1"/>
        <rFont val="メイリオ"/>
        <family val="2"/>
        <charset val="128"/>
      </rPr>
      <t>fsp</t>
    </r>
    <r>
      <rPr>
        <sz val="14"/>
        <color theme="1"/>
        <rFont val="メイリオ"/>
        <family val="2"/>
        <charset val="128"/>
      </rPr>
      <t>)]</t>
    </r>
    <phoneticPr fontId="1"/>
  </si>
  <si>
    <r>
      <t>DATETIME[(</t>
    </r>
    <r>
      <rPr>
        <b/>
        <sz val="12"/>
        <color rgb="FF000000"/>
        <rFont val="メイリオ"/>
        <family val="2"/>
        <charset val="128"/>
      </rPr>
      <t>fsp</t>
    </r>
    <r>
      <rPr>
        <sz val="13"/>
        <color rgb="FF000000"/>
        <rFont val="メイリオ"/>
        <family val="2"/>
        <charset val="128"/>
      </rPr>
      <t>)]</t>
    </r>
    <phoneticPr fontId="1"/>
  </si>
  <si>
    <t>・日付・時間型の小数秒 (fsp) については、初期値0とします。（※）MySQL 5.6.4以降しかない機能であるため</t>
    <rPh sb="47" eb="49">
      <t xml:space="preserve">イコウ </t>
    </rPh>
    <rPh sb="53" eb="55">
      <t xml:space="preserve">キノウ </t>
    </rPh>
    <phoneticPr fontId="1"/>
  </si>
  <si>
    <r>
      <t>DOUBLE PRECISION[(</t>
    </r>
    <r>
      <rPr>
        <b/>
        <sz val="14"/>
        <color theme="1"/>
        <rFont val="メイリオ"/>
        <family val="2"/>
        <charset val="128"/>
      </rPr>
      <t>M,D</t>
    </r>
    <r>
      <rPr>
        <sz val="14"/>
        <color theme="1"/>
        <rFont val="メイリオ"/>
        <family val="2"/>
        <charset val="128"/>
      </rPr>
      <t>)], REAL[</t>
    </r>
    <r>
      <rPr>
        <b/>
        <sz val="14"/>
        <color theme="1"/>
        <rFont val="メイリオ"/>
        <family val="2"/>
        <charset val="128"/>
      </rPr>
      <t>(M,D</t>
    </r>
    <r>
      <rPr>
        <sz val="14"/>
        <color theme="1"/>
        <rFont val="メイリオ"/>
        <family val="2"/>
        <charset val="128"/>
      </rPr>
      <t xml:space="preserve">)] </t>
    </r>
    <phoneticPr fontId="1"/>
  </si>
  <si>
    <r>
      <t>DEC[(M[,D])]
, NUMERIC[(</t>
    </r>
    <r>
      <rPr>
        <b/>
        <sz val="14"/>
        <color theme="1"/>
        <rFont val="メイリオ"/>
        <family val="2"/>
        <charset val="128"/>
      </rPr>
      <t>M[,D</t>
    </r>
    <r>
      <rPr>
        <sz val="14"/>
        <color theme="1"/>
        <rFont val="メイリオ"/>
        <family val="2"/>
        <charset val="128"/>
      </rPr>
      <t>])] 
, FIXED[(</t>
    </r>
    <r>
      <rPr>
        <b/>
        <sz val="14"/>
        <color theme="1"/>
        <rFont val="メイリオ"/>
        <family val="2"/>
        <charset val="128"/>
      </rPr>
      <t>M[,D</t>
    </r>
    <r>
      <rPr>
        <sz val="14"/>
        <color theme="1"/>
        <rFont val="メイリオ"/>
        <family val="2"/>
        <charset val="128"/>
      </rPr>
      <t>])]</t>
    </r>
    <phoneticPr fontId="1"/>
  </si>
  <si>
    <r>
      <t>FLOAT</t>
    </r>
    <r>
      <rPr>
        <b/>
        <sz val="14"/>
        <color theme="1"/>
        <rFont val="メイリオ"/>
        <family val="2"/>
        <charset val="128"/>
      </rPr>
      <t>(p</t>
    </r>
    <r>
      <rPr>
        <sz val="14"/>
        <color theme="1"/>
        <rFont val="メイリオ"/>
        <family val="2"/>
        <charset val="128"/>
      </rPr>
      <t>)</t>
    </r>
    <phoneticPr fontId="1"/>
  </si>
  <si>
    <t>・FLOAT型は対応していません。可能であれば、Double型を利用ください。</t>
    <rPh sb="17" eb="19">
      <t xml:space="preserve">カノウデアレバ </t>
    </rPh>
    <rPh sb="30" eb="31">
      <t xml:space="preserve">ガタヲ </t>
    </rPh>
    <phoneticPr fontId="1"/>
  </si>
  <si>
    <t>・データ型の入力は、型分類を選択してから選択してください。型分類を選択しないと、データ型のリストは表示されません。</t>
    <rPh sb="10" eb="13">
      <t xml:space="preserve">カタブンルイヲ </t>
    </rPh>
    <rPh sb="14" eb="56">
      <t xml:space="preserve">センタクゴニ </t>
    </rPh>
    <phoneticPr fontId="1"/>
  </si>
  <si>
    <t>DATETIME</t>
    <phoneticPr fontId="1"/>
  </si>
  <si>
    <t>TIMESTAMP</t>
    <phoneticPr fontId="1"/>
  </si>
  <si>
    <t>TIME</t>
    <phoneticPr fontId="1"/>
  </si>
  <si>
    <r>
      <t>BIT(</t>
    </r>
    <r>
      <rPr>
        <b/>
        <sz val="14"/>
        <color rgb="FF000000"/>
        <rFont val="Meiryo UI"/>
        <family val="2"/>
        <charset val="128"/>
      </rPr>
      <t>M</t>
    </r>
    <r>
      <rPr>
        <sz val="14"/>
        <color rgb="FF000000"/>
        <rFont val="Meiryo UI"/>
        <family val="2"/>
        <charset val="128"/>
      </rPr>
      <t>)</t>
    </r>
    <phoneticPr fontId="1"/>
  </si>
  <si>
    <r>
      <t>DECIMAL[(</t>
    </r>
    <r>
      <rPr>
        <b/>
        <sz val="14"/>
        <color theme="1"/>
        <rFont val="メイリオ"/>
        <family val="2"/>
        <charset val="128"/>
      </rPr>
      <t>M[,D</t>
    </r>
    <r>
      <rPr>
        <sz val="14"/>
        <color theme="1"/>
        <rFont val="メイリオ"/>
        <family val="2"/>
        <charset val="128"/>
      </rPr>
      <t xml:space="preserve">])] </t>
    </r>
    <phoneticPr fontId="1"/>
  </si>
  <si>
    <r>
      <t>DOUBLE[(</t>
    </r>
    <r>
      <rPr>
        <b/>
        <sz val="14"/>
        <color theme="1"/>
        <rFont val="メイリオ"/>
        <family val="2"/>
        <charset val="128"/>
      </rPr>
      <t>M,D</t>
    </r>
    <r>
      <rPr>
        <sz val="14"/>
        <color theme="1"/>
        <rFont val="メイリオ"/>
        <family val="2"/>
        <charset val="128"/>
      </rPr>
      <t>)]</t>
    </r>
    <phoneticPr fontId="1"/>
  </si>
  <si>
    <t>TINYINT(M)</t>
  </si>
  <si>
    <t>YEAR(4)</t>
  </si>
  <si>
    <r>
      <t>CHAR(</t>
    </r>
    <r>
      <rPr>
        <b/>
        <sz val="14"/>
        <color rgb="FF000000"/>
        <rFont val="Meiryo UI"/>
        <family val="2"/>
        <charset val="128"/>
      </rPr>
      <t>M</t>
    </r>
    <r>
      <rPr>
        <sz val="14"/>
        <color rgb="FF000000"/>
        <rFont val="Meiryo UI"/>
        <family val="2"/>
        <charset val="128"/>
      </rPr>
      <t>)</t>
    </r>
    <phoneticPr fontId="1"/>
  </si>
  <si>
    <r>
      <t>BLOB(</t>
    </r>
    <r>
      <rPr>
        <b/>
        <sz val="14"/>
        <color rgb="FF000000"/>
        <rFont val="Meiryo UI"/>
        <family val="2"/>
        <charset val="128"/>
      </rPr>
      <t>M</t>
    </r>
    <r>
      <rPr>
        <sz val="14"/>
        <color rgb="FF000000"/>
        <rFont val="Meiryo UI"/>
        <family val="2"/>
        <charset val="128"/>
      </rPr>
      <t>)</t>
    </r>
    <phoneticPr fontId="1"/>
  </si>
  <si>
    <r>
      <t>TEXT(</t>
    </r>
    <r>
      <rPr>
        <b/>
        <sz val="14"/>
        <color rgb="FF000000"/>
        <rFont val="Meiryo UI"/>
        <family val="2"/>
        <charset val="128"/>
      </rPr>
      <t>M</t>
    </r>
    <r>
      <rPr>
        <sz val="14"/>
        <color rgb="FF000000"/>
        <rFont val="Meiryo UI"/>
        <family val="2"/>
        <charset val="128"/>
      </rPr>
      <t xml:space="preserve">) </t>
    </r>
    <phoneticPr fontId="1"/>
  </si>
  <si>
    <r>
      <t>TINYINT(</t>
    </r>
    <r>
      <rPr>
        <b/>
        <sz val="14"/>
        <color rgb="FF000000"/>
        <rFont val="Meiryo UI"/>
        <family val="2"/>
        <charset val="128"/>
      </rPr>
      <t>M</t>
    </r>
    <r>
      <rPr>
        <sz val="14"/>
        <color rgb="FF000000"/>
        <rFont val="Meiryo UI"/>
        <family val="2"/>
        <charset val="128"/>
      </rPr>
      <t>)</t>
    </r>
    <phoneticPr fontId="1"/>
  </si>
  <si>
    <r>
      <t>SMALLINT(</t>
    </r>
    <r>
      <rPr>
        <b/>
        <sz val="14"/>
        <color rgb="FF000000"/>
        <rFont val="Meiryo UI"/>
        <family val="2"/>
        <charset val="128"/>
      </rPr>
      <t>M</t>
    </r>
    <r>
      <rPr>
        <sz val="14"/>
        <color rgb="FF000000"/>
        <rFont val="Meiryo UI"/>
        <family val="2"/>
        <charset val="128"/>
      </rPr>
      <t xml:space="preserve">) </t>
    </r>
    <phoneticPr fontId="1"/>
  </si>
  <si>
    <r>
      <t>MEDIUMINT(</t>
    </r>
    <r>
      <rPr>
        <b/>
        <sz val="14"/>
        <color rgb="FF000000"/>
        <rFont val="Meiryo UI"/>
        <family val="2"/>
        <charset val="128"/>
      </rPr>
      <t>M</t>
    </r>
    <r>
      <rPr>
        <sz val="14"/>
        <color rgb="FF000000"/>
        <rFont val="Meiryo UI"/>
        <family val="2"/>
        <charset val="128"/>
      </rPr>
      <t xml:space="preserve">) </t>
    </r>
    <phoneticPr fontId="1"/>
  </si>
  <si>
    <r>
      <t>INT(</t>
    </r>
    <r>
      <rPr>
        <b/>
        <sz val="14"/>
        <color theme="1"/>
        <rFont val="Meiryo UI"/>
        <family val="2"/>
        <charset val="128"/>
      </rPr>
      <t>M</t>
    </r>
    <r>
      <rPr>
        <sz val="14"/>
        <color theme="1"/>
        <rFont val="Meiryo UI"/>
        <family val="2"/>
        <charset val="128"/>
      </rPr>
      <t>)</t>
    </r>
    <phoneticPr fontId="1"/>
  </si>
  <si>
    <r>
      <t>BIGINT(</t>
    </r>
    <r>
      <rPr>
        <b/>
        <sz val="14"/>
        <color rgb="FF000000"/>
        <rFont val="Meiryo UI"/>
        <family val="2"/>
        <charset val="128"/>
      </rPr>
      <t>M</t>
    </r>
    <r>
      <rPr>
        <sz val="14"/>
        <color rgb="FF000000"/>
        <rFont val="Meiryo UI"/>
        <family val="2"/>
        <charset val="128"/>
      </rPr>
      <t xml:space="preserve">) </t>
    </r>
    <phoneticPr fontId="1"/>
  </si>
  <si>
    <r>
      <t>DOUBLE(</t>
    </r>
    <r>
      <rPr>
        <b/>
        <sz val="14"/>
        <color theme="1"/>
        <rFont val="Meiryo UI"/>
        <family val="2"/>
        <charset val="128"/>
      </rPr>
      <t>M</t>
    </r>
    <r>
      <rPr>
        <sz val="14"/>
        <color theme="1"/>
        <rFont val="Meiryo UI"/>
        <family val="2"/>
        <charset val="128"/>
      </rPr>
      <t>,</t>
    </r>
    <r>
      <rPr>
        <b/>
        <sz val="14"/>
        <color theme="1"/>
        <rFont val="Meiryo UI"/>
        <family val="2"/>
        <charset val="128"/>
      </rPr>
      <t>D</t>
    </r>
    <r>
      <rPr>
        <sz val="14"/>
        <color theme="1"/>
        <rFont val="Meiryo UI"/>
        <family val="2"/>
        <charset val="128"/>
      </rPr>
      <t>)</t>
    </r>
    <phoneticPr fontId="1"/>
  </si>
  <si>
    <t>DOUBLE(M,D)</t>
  </si>
  <si>
    <r>
      <t>DECIMAL(</t>
    </r>
    <r>
      <rPr>
        <b/>
        <sz val="14"/>
        <color theme="1"/>
        <rFont val="Meiryo UI"/>
        <family val="2"/>
        <charset val="128"/>
      </rPr>
      <t>M</t>
    </r>
    <r>
      <rPr>
        <sz val="14"/>
        <color theme="1"/>
        <rFont val="Meiryo UI"/>
        <family val="2"/>
        <charset val="128"/>
      </rPr>
      <t>,</t>
    </r>
    <r>
      <rPr>
        <b/>
        <sz val="14"/>
        <color theme="1"/>
        <rFont val="Meiryo UI"/>
        <family val="2"/>
        <charset val="128"/>
      </rPr>
      <t>D</t>
    </r>
    <r>
      <rPr>
        <sz val="14"/>
        <color theme="1"/>
        <rFont val="Meiryo UI"/>
        <family val="2"/>
        <charset val="128"/>
      </rPr>
      <t xml:space="preserve">) </t>
    </r>
    <phoneticPr fontId="1"/>
  </si>
  <si>
    <t xml:space="preserve">DECIMAL(M,D) </t>
  </si>
  <si>
    <t>符号なし
UNSIGNED</t>
    <rPh sb="0" eb="2">
      <t xml:space="preserve">フゴウナシ </t>
    </rPh>
    <phoneticPr fontId="1"/>
  </si>
  <si>
    <t>ゼロ埋め
ZEROFILL</t>
    <phoneticPr fontId="1"/>
  </si>
  <si>
    <r>
      <t xml:space="preserve">(M)
</t>
    </r>
    <r>
      <rPr>
        <b/>
        <sz val="9"/>
        <color theme="0"/>
        <rFont val="Meiryo UI"/>
        <family val="2"/>
        <charset val="128"/>
      </rPr>
      <t>数値：最大表示幅
文字：最大長</t>
    </r>
    <rPh sb="4" eb="6">
      <t xml:space="preserve">スウチオ </t>
    </rPh>
    <rPh sb="7" eb="9">
      <t xml:space="preserve">サイダイ </t>
    </rPh>
    <rPh sb="9" eb="11">
      <t xml:space="preserve">ヒョウジ </t>
    </rPh>
    <rPh sb="11" eb="12">
      <t/>
    </rPh>
    <rPh sb="12" eb="14">
      <t xml:space="preserve">モジ </t>
    </rPh>
    <rPh sb="16" eb="19">
      <t xml:space="preserve">サイダイチョウ </t>
    </rPh>
    <phoneticPr fontId="1"/>
  </si>
  <si>
    <r>
      <t xml:space="preserve">(D)
</t>
    </r>
    <r>
      <rPr>
        <b/>
        <sz val="10"/>
        <color theme="0"/>
        <rFont val="Meiryo UI"/>
        <family val="2"/>
        <charset val="128"/>
      </rPr>
      <t>小数点以下
桁数</t>
    </r>
    <rPh sb="3" eb="8">
      <t xml:space="preserve">ショウスウテンイカ </t>
    </rPh>
    <rPh sb="9" eb="11">
      <t xml:space="preserve">ケタスウ </t>
    </rPh>
    <phoneticPr fontId="1"/>
  </si>
  <si>
    <t>初期値
DEFAULT</t>
    <rPh sb="0" eb="3">
      <t xml:space="preserve">ショキチ </t>
    </rPh>
    <phoneticPr fontId="1"/>
  </si>
  <si>
    <t>test</t>
    <phoneticPr fontId="1"/>
  </si>
  <si>
    <t>test2</t>
    <phoneticPr fontId="1"/>
  </si>
  <si>
    <t>ダブル型てすと</t>
    <rPh sb="3" eb="4">
      <t xml:space="preserve">ガタ </t>
    </rPh>
    <phoneticPr fontId="1"/>
  </si>
  <si>
    <t>デシマルテスト</t>
    <phoneticPr fontId="1"/>
  </si>
  <si>
    <t>【MySQLテーブル定義ツール】仕様</t>
    <rPh sb="1" eb="4">
      <t>サクセイヨウ</t>
    </rPh>
    <rPh sb="10" eb="12">
      <t xml:space="preserve">テイギ </t>
    </rPh>
    <rPh sb="16" eb="18">
      <t xml:space="preserve">シヨウショ </t>
    </rPh>
    <phoneticPr fontId="1"/>
  </si>
  <si>
    <t>・MySQLのバージョンが「8.0」以降かつ文字コードが「UTF8」の場合、CHARSET は「UTF8mb4」が選択されていないとエラー扱いとします。</t>
    <rPh sb="18" eb="20">
      <t xml:space="preserve">イコウ </t>
    </rPh>
    <phoneticPr fontId="1"/>
  </si>
  <si>
    <t>UNSIGNED</t>
    <phoneticPr fontId="1"/>
  </si>
  <si>
    <t>NOT NULL</t>
    <phoneticPr fontId="1"/>
  </si>
  <si>
    <t>テーブル区分 *</t>
    <rPh sb="4" eb="6">
      <t xml:space="preserve">クブン </t>
    </rPh>
    <phoneticPr fontId="1"/>
  </si>
  <si>
    <t>処理日時</t>
    <rPh sb="0" eb="4">
      <t xml:space="preserve">ショリニチジ </t>
    </rPh>
    <phoneticPr fontId="1"/>
  </si>
  <si>
    <t>処理結果</t>
    <rPh sb="0" eb="1">
      <t xml:space="preserve">ショリケッカ </t>
    </rPh>
    <phoneticPr fontId="1"/>
  </si>
  <si>
    <t>結果詳細</t>
    <rPh sb="0" eb="4">
      <t xml:space="preserve">ケッカショウサイ </t>
    </rPh>
    <phoneticPr fontId="1"/>
  </si>
  <si>
    <t>OK</t>
    <phoneticPr fontId="1"/>
  </si>
  <si>
    <t>SQL文の作成に成功しました！</t>
    <phoneticPr fontId="1"/>
  </si>
  <si>
    <t>※コピー後、選択状態のセルをクリアするときには「ESC」キーをクリックしてください。</t>
    <rPh sb="4" eb="5">
      <t xml:space="preserve">ゴ </t>
    </rPh>
    <rPh sb="6" eb="10">
      <t xml:space="preserve">センタクジョウタイノ </t>
    </rPh>
    <phoneticPr fontId="1"/>
  </si>
  <si>
    <t>agure</t>
    <phoneticPr fontId="1"/>
  </si>
  <si>
    <t>2019/2/28</t>
    <phoneticPr fontId="1"/>
  </si>
  <si>
    <t>完了</t>
    <rPh sb="0" eb="2">
      <t xml:space="preserve">カンリョウ </t>
    </rPh>
    <phoneticPr fontId="1"/>
  </si>
  <si>
    <t>完了</t>
    <rPh sb="0" eb="1">
      <t xml:space="preserve">カンリョウ </t>
    </rPh>
    <phoneticPr fontId="1"/>
  </si>
  <si>
    <t>SQL文コピー</t>
    <rPh sb="3" eb="4">
      <t xml:space="preserve">ブン </t>
    </rPh>
    <phoneticPr fontId="1"/>
  </si>
  <si>
    <t>CreateTableのSQL文をコピー</t>
    <rPh sb="15" eb="16">
      <t xml:space="preserve">ブンヲ </t>
    </rPh>
    <phoneticPr fontId="1"/>
  </si>
  <si>
    <t>Mac</t>
    <phoneticPr fontId="1"/>
  </si>
  <si>
    <t>新規作成（最小機能）</t>
    <rPh sb="0" eb="4">
      <t xml:space="preserve">シンキサクセイ </t>
    </rPh>
    <rPh sb="5" eb="9">
      <t xml:space="preserve">サイショウキノウ </t>
    </rPh>
    <phoneticPr fontId="1"/>
  </si>
  <si>
    <t>TABLE</t>
  </si>
  <si>
    <t>)</t>
  </si>
  <si>
    <t xml:space="preserve"> ENGINE = InnoDB</t>
  </si>
  <si>
    <t>;</t>
  </si>
  <si>
    <t xml:space="preserve"> id BIGINT AUTO_INCREMENT UNSIGNED NOT NULL COMMENT 'ユニークID'</t>
  </si>
  <si>
    <t xml:space="preserve"> , user_id VARCHAR(10) COMMENT '利用者ID'</t>
  </si>
  <si>
    <t xml:space="preserve"> , user_name VARCHAR(10) COMMENT '利用者名'</t>
  </si>
  <si>
    <t xml:space="preserve"> , is_used TINYINT(1) COMMENT '有効フラグ'</t>
  </si>
  <si>
    <t xml:space="preserve"> , created DATE COMMENT '登録日時'</t>
  </si>
  <si>
    <t xml:space="preserve"> , created_user_id VARCHAR(30) COMMENT '登録者ID'</t>
  </si>
  <si>
    <t xml:space="preserve"> , updated DATE COMMENT '更新日時'</t>
  </si>
  <si>
    <t xml:space="preserve"> , updated_user_id VARCHAR(30) COMMENT '更新者ID'</t>
  </si>
  <si>
    <t xml:space="preserve"> , memo VARCHAR(50) COMMENT 'コメント'</t>
  </si>
  <si>
    <t xml:space="preserve"> , test DECIMAL(10,2)  COMMENT 'デシマルテスト'</t>
  </si>
  <si>
    <t xml:space="preserve"> , PRIMARY KEY (id) </t>
  </si>
  <si>
    <t xml:space="preserve"> , INDEX m000_INDEX1 (user_id , is_used) </t>
  </si>
  <si>
    <t xml:space="preserve"> CHARACTER SET = utf8mb4</t>
  </si>
  <si>
    <t xml:space="preserve"> COMMENT = 'M000ユーザマスタ'</t>
  </si>
  <si>
    <t>保留</t>
    <rPh sb="0" eb="2">
      <t xml:space="preserve">ホリュウ </t>
    </rPh>
    <phoneticPr fontId="1"/>
  </si>
  <si>
    <t>Mac /Win</t>
    <phoneticPr fontId="1"/>
  </si>
  <si>
    <t>リリース前検証用</t>
    <rPh sb="5" eb="7">
      <t xml:space="preserve">ケンショウ </t>
    </rPh>
    <rPh sb="7" eb="8">
      <t xml:space="preserve">ヨウ </t>
    </rPh>
    <phoneticPr fontId="1"/>
  </si>
  <si>
    <t xml:space="preserve"> , test2 DOUBLE(3,3) COMMENT 'ダブル型てすと'</t>
  </si>
  <si>
    <t>testdb</t>
    <phoneticPr fontId="1"/>
  </si>
  <si>
    <t>CREATE TABLE testdb.m000_sample (</t>
  </si>
  <si>
    <t>2019/3/11 22:13</t>
    <phoneticPr fontId="1"/>
  </si>
  <si>
    <t>使い方</t>
    <rPh sb="0" eb="1">
      <t xml:space="preserve">ツカイカタ </t>
    </rPh>
    <phoneticPr fontId="1"/>
  </si>
  <si>
    <t>※シート名はご自由に設定して構いません。ただし、テーブル名は制約事項2をご確認の上設定してください。</t>
    <rPh sb="10" eb="12">
      <t xml:space="preserve">セッテイシテ </t>
    </rPh>
    <rPh sb="14" eb="15">
      <t xml:space="preserve">カマイマセン </t>
    </rPh>
    <phoneticPr fontId="1"/>
  </si>
  <si>
    <t>コピーしたシート上で、テーブル情報とカラム情報を入力後、「CreateSQL」ボタンをクリックするとSQL文が自動で作成されます。</t>
    <rPh sb="24" eb="26">
      <t xml:space="preserve">ニュウリョク </t>
    </rPh>
    <rPh sb="26" eb="27">
      <t xml:space="preserve">ゴ </t>
    </rPh>
    <rPh sb="53" eb="54">
      <t xml:space="preserve">ブンガ </t>
    </rPh>
    <rPh sb="55" eb="57">
      <t xml:space="preserve">ジドウデサクセイサレマス </t>
    </rPh>
    <phoneticPr fontId="1"/>
  </si>
  <si>
    <t>初回公開</t>
    <rPh sb="0" eb="2">
      <t xml:space="preserve">ショカイ </t>
    </rPh>
    <rPh sb="2" eb="4">
      <t xml:space="preserve">コウカイ </t>
    </rPh>
    <phoneticPr fontId="1"/>
  </si>
  <si>
    <t>1.0.0</t>
    <phoneticPr fontId="1"/>
  </si>
  <si>
    <t>0.0.2</t>
    <phoneticPr fontId="1"/>
  </si>
  <si>
    <t>0.0.1</t>
    <phoneticPr fontId="1"/>
  </si>
  <si>
    <t>「Template」シートをコピーして、シート名をつけます（例えば、m001_usersテーブルを作成する際はシート名を「m001」とする）。</t>
    <rPh sb="30" eb="31">
      <t xml:space="preserve">レイ </t>
    </rPh>
    <rPh sb="49" eb="51">
      <t xml:space="preserve">サクセイスルサイハ セイヤクジコウノ セッテイ </t>
    </rPh>
    <phoneticPr fontId="1"/>
  </si>
  <si>
    <t>ユーザーアカウント</t>
    <phoneticPr fontId="1"/>
  </si>
  <si>
    <t>細谷祐太</t>
    <rPh sb="0" eb="2">
      <t xml:space="preserve">ホソヤ </t>
    </rPh>
    <rPh sb="2" eb="4">
      <t xml:space="preserve">ユウタ </t>
    </rPh>
    <phoneticPr fontId="1"/>
  </si>
  <si>
    <t>5/7</t>
    <phoneticPr fontId="1"/>
  </si>
  <si>
    <t>サウナココカラ</t>
  </si>
  <si>
    <t>サウナココカラ</t>
    <phoneticPr fontId="1"/>
  </si>
  <si>
    <t>ユーザーアカウントの管理</t>
    <rPh sb="10" eb="12">
      <t xml:space="preserve">カンリ </t>
    </rPh>
    <phoneticPr fontId="1"/>
  </si>
  <si>
    <t>ユーザーID</t>
  </si>
  <si>
    <t>ユーザーID</t>
    <phoneticPr fontId="1"/>
  </si>
  <si>
    <t>user_id</t>
  </si>
  <si>
    <t>名前</t>
    <rPh sb="0" eb="2">
      <t xml:space="preserve">ナマエ </t>
    </rPh>
    <phoneticPr fontId="1"/>
  </si>
  <si>
    <t>性別</t>
    <rPh sb="0" eb="2">
      <t xml:space="preserve">セイベツ </t>
    </rPh>
    <phoneticPr fontId="1"/>
  </si>
  <si>
    <t>メールアドレス</t>
    <phoneticPr fontId="1"/>
  </si>
  <si>
    <t>パスワード</t>
    <phoneticPr fontId="1"/>
  </si>
  <si>
    <t>name</t>
    <phoneticPr fontId="1"/>
  </si>
  <si>
    <t>sex</t>
    <phoneticPr fontId="1"/>
  </si>
  <si>
    <t>mailAddress</t>
    <phoneticPr fontId="1"/>
  </si>
  <si>
    <t>password</t>
    <phoneticPr fontId="1"/>
  </si>
  <si>
    <t>BIGINT AUTO_INCREMENT</t>
  </si>
  <si>
    <t>role</t>
    <phoneticPr fontId="1"/>
  </si>
  <si>
    <t>users</t>
    <phoneticPr fontId="1"/>
  </si>
  <si>
    <t>del_flg</t>
  </si>
  <si>
    <t>INT(M)</t>
  </si>
  <si>
    <t>InnoDB</t>
  </si>
  <si>
    <t xml:space="preserve"> user_id BIGINT AUTO_INCREMENT COMMENT 'ユーザーID'</t>
  </si>
  <si>
    <t xml:space="preserve"> , name VARCHAR(25) COMMENT '名前'</t>
  </si>
  <si>
    <t xml:space="preserve"> , sex VARCHAR(2) COMMENT '性別'</t>
  </si>
  <si>
    <t xml:space="preserve"> , mailAddress VARCHAR(255) COMMENT 'メールアドレス'</t>
  </si>
  <si>
    <t xml:space="preserve"> , password VARCHAR(255) COMMENT 'パスワード'</t>
  </si>
  <si>
    <t xml:space="preserve"> , role INT(1) DEFAULT 0 COMMENT '権限'</t>
  </si>
  <si>
    <t xml:space="preserve"> , del_flg INT(1) DEFAULT 0 COMMENT '削除フラグ'</t>
  </si>
  <si>
    <t xml:space="preserve"> , PRIMARY KEY (user_id) </t>
  </si>
  <si>
    <t xml:space="preserve"> CHARACTER SET = utf8</t>
  </si>
  <si>
    <t xml:space="preserve"> COMMENT = 'ユーザーアカウント'</t>
  </si>
  <si>
    <t>sauna_db</t>
  </si>
  <si>
    <t>sauna_db</t>
    <phoneticPr fontId="1"/>
  </si>
  <si>
    <t>CREATE TABLE sauna_db.users (</t>
  </si>
  <si>
    <t>2022/5/7 18:11</t>
    <phoneticPr fontId="1"/>
  </si>
  <si>
    <t>store_reviews</t>
    <phoneticPr fontId="1"/>
  </si>
  <si>
    <t>店舗口コミ</t>
    <rPh sb="0" eb="2">
      <t xml:space="preserve">テンポ </t>
    </rPh>
    <rPh sb="2" eb="3">
      <t xml:space="preserve">クチコミ </t>
    </rPh>
    <phoneticPr fontId="1"/>
  </si>
  <si>
    <t>店舗口コミの投稿を管理する</t>
    <rPh sb="0" eb="2">
      <t xml:space="preserve">テンポ </t>
    </rPh>
    <rPh sb="2" eb="3">
      <t xml:space="preserve">クチコミ </t>
    </rPh>
    <rPh sb="6" eb="8">
      <t xml:space="preserve">トウコウ </t>
    </rPh>
    <rPh sb="9" eb="11">
      <t xml:space="preserve">カンリスル </t>
    </rPh>
    <phoneticPr fontId="1"/>
  </si>
  <si>
    <t>store_name</t>
    <phoneticPr fontId="1"/>
  </si>
  <si>
    <t>店舗名</t>
    <rPh sb="0" eb="2">
      <t xml:space="preserve">テンポメオ </t>
    </rPh>
    <rPh sb="2" eb="3">
      <t xml:space="preserve">メイ </t>
    </rPh>
    <phoneticPr fontId="1"/>
  </si>
  <si>
    <t>権限（デフォルト：0 管理者：1）</t>
    <rPh sb="0" eb="2">
      <t xml:space="preserve">ケンゲン </t>
    </rPh>
    <rPh sb="11" eb="14">
      <t xml:space="preserve">カンリシャ </t>
    </rPh>
    <phoneticPr fontId="1"/>
  </si>
  <si>
    <t>削除フラグ（デフォルト：0 削除：1）</t>
    <rPh sb="0" eb="2">
      <t xml:space="preserve">サクジョ </t>
    </rPh>
    <rPh sb="14" eb="16">
      <t xml:space="preserve">サクジョ </t>
    </rPh>
    <phoneticPr fontId="1"/>
  </si>
  <si>
    <t>場所</t>
    <rPh sb="0" eb="2">
      <t xml:space="preserve">バショ </t>
    </rPh>
    <phoneticPr fontId="1"/>
  </si>
  <si>
    <t>常連</t>
    <rPh sb="0" eb="2">
      <t xml:space="preserve">ジョウレン </t>
    </rPh>
    <phoneticPr fontId="1"/>
  </si>
  <si>
    <t>テレビ</t>
    <phoneticPr fontId="1"/>
  </si>
  <si>
    <t>室内温度</t>
    <rPh sb="0" eb="4">
      <t xml:space="preserve">シツナイオンド </t>
    </rPh>
    <phoneticPr fontId="1"/>
  </si>
  <si>
    <t>水風呂温度</t>
    <rPh sb="0" eb="3">
      <t xml:space="preserve">ミズブロ </t>
    </rPh>
    <rPh sb="3" eb="5">
      <t xml:space="preserve">オンド </t>
    </rPh>
    <phoneticPr fontId="1"/>
  </si>
  <si>
    <t>広さ</t>
    <rPh sb="0" eb="1">
      <t xml:space="preserve">ヒロサ </t>
    </rPh>
    <phoneticPr fontId="1"/>
  </si>
  <si>
    <t>匂い</t>
    <rPh sb="0" eb="1">
      <t xml:space="preserve">ニオイ </t>
    </rPh>
    <phoneticPr fontId="1"/>
  </si>
  <si>
    <t>混雑度</t>
    <rPh sb="0" eb="3">
      <t xml:space="preserve">コンザツド </t>
    </rPh>
    <phoneticPr fontId="1"/>
  </si>
  <si>
    <t>外気浴</t>
    <rPh sb="0" eb="3">
      <t xml:space="preserve">ガイキヨク </t>
    </rPh>
    <phoneticPr fontId="1"/>
  </si>
  <si>
    <t>音楽</t>
    <rPh sb="0" eb="2">
      <t xml:space="preserve">オンガク </t>
    </rPh>
    <phoneticPr fontId="1"/>
  </si>
  <si>
    <t>サウナマット</t>
    <phoneticPr fontId="1"/>
  </si>
  <si>
    <t>清潔度</t>
    <rPh sb="0" eb="3">
      <t xml:space="preserve">セイケツド </t>
    </rPh>
    <phoneticPr fontId="1"/>
  </si>
  <si>
    <t>年齢層</t>
    <rPh sb="0" eb="3">
      <t xml:space="preserve">ネンレイソウ </t>
    </rPh>
    <phoneticPr fontId="1"/>
  </si>
  <si>
    <t>口コミ</t>
    <rPh sb="0" eb="1">
      <t xml:space="preserve">クチコミ </t>
    </rPh>
    <phoneticPr fontId="1"/>
  </si>
  <si>
    <t>place</t>
    <phoneticPr fontId="1"/>
  </si>
  <si>
    <t>TV</t>
    <phoneticPr fontId="1"/>
  </si>
  <si>
    <t>music</t>
    <phoneticPr fontId="1"/>
  </si>
  <si>
    <t>temperature</t>
    <phoneticPr fontId="1"/>
  </si>
  <si>
    <t>smell</t>
    <phoneticPr fontId="1"/>
  </si>
  <si>
    <t>congestion</t>
    <phoneticPr fontId="1"/>
  </si>
  <si>
    <t>mat</t>
    <phoneticPr fontId="1"/>
  </si>
  <si>
    <t>review</t>
  </si>
  <si>
    <t>review</t>
    <phoneticPr fontId="1"/>
  </si>
  <si>
    <t>regular</t>
    <phoneticPr fontId="1"/>
  </si>
  <si>
    <t>water_temperature</t>
    <phoneticPr fontId="1"/>
  </si>
  <si>
    <t>width</t>
    <phoneticPr fontId="1"/>
  </si>
  <si>
    <t>outside_bath</t>
    <phoneticPr fontId="1"/>
  </si>
  <si>
    <t>cleanliness</t>
    <phoneticPr fontId="1"/>
  </si>
  <si>
    <t>age group</t>
    <phoneticPr fontId="1"/>
  </si>
  <si>
    <t>experience</t>
    <phoneticPr fontId="1"/>
  </si>
  <si>
    <t>俺流サウナの楽しみ方</t>
    <rPh sb="0" eb="2">
      <t xml:space="preserve">オレリュウ </t>
    </rPh>
    <rPh sb="6" eb="7">
      <t xml:space="preserve">タノシミカタ </t>
    </rPh>
    <phoneticPr fontId="1"/>
  </si>
  <si>
    <t>俺流サウナの楽しみ方の投稿を管理する</t>
    <rPh sb="0" eb="2">
      <t xml:space="preserve">オレリュウサウナ </t>
    </rPh>
    <rPh sb="6" eb="7">
      <t xml:space="preserve">タノシミカタ </t>
    </rPh>
    <rPh sb="11" eb="13">
      <t xml:space="preserve">トウコウ </t>
    </rPh>
    <rPh sb="14" eb="16">
      <t xml:space="preserve">カンリスル </t>
    </rPh>
    <phoneticPr fontId="1"/>
  </si>
  <si>
    <t>難易度</t>
    <rPh sb="0" eb="3">
      <t xml:space="preserve">ナンイド </t>
    </rPh>
    <phoneticPr fontId="1"/>
  </si>
  <si>
    <t>所要時間</t>
    <rPh sb="0" eb="2">
      <t xml:space="preserve">ショヨウ </t>
    </rPh>
    <rPh sb="2" eb="4">
      <t xml:space="preserve">ジカン </t>
    </rPh>
    <phoneticPr fontId="1"/>
  </si>
  <si>
    <t>difficulty</t>
    <phoneticPr fontId="1"/>
  </si>
  <si>
    <t>time</t>
    <phoneticPr fontId="1"/>
  </si>
  <si>
    <t>投稿番号</t>
    <rPh sb="0" eb="4">
      <t xml:space="preserve">トウコウバンゴウ </t>
    </rPh>
    <phoneticPr fontId="1"/>
  </si>
  <si>
    <t>CREATE TABLE sauna_db.store_reviews (</t>
  </si>
  <si>
    <t xml:space="preserve"> id BIGINT AUTO_INCREMENT COMMENT '投稿番号'</t>
  </si>
  <si>
    <t xml:space="preserve"> , store_name VARCHAR(50) COMMENT '店舗名'</t>
  </si>
  <si>
    <t xml:space="preserve"> , place VARCHAR(50) COMMENT '場所'</t>
  </si>
  <si>
    <t xml:space="preserve"> , regular VARCHAR(100) COMMENT '常連'</t>
  </si>
  <si>
    <t xml:space="preserve"> , TV VARCHAR(100) COMMENT 'テレビ'</t>
  </si>
  <si>
    <t xml:space="preserve"> , temperature VARCHAR(100) COMMENT '室内温度'</t>
  </si>
  <si>
    <t xml:space="preserve"> , water_temperature VARCHAR(100) COMMENT '水風呂温度'</t>
  </si>
  <si>
    <t xml:space="preserve"> , width VARCHAR(100) COMMENT '広さ'</t>
  </si>
  <si>
    <t xml:space="preserve"> , smell VARCHAR(100) COMMENT '匂い'</t>
  </si>
  <si>
    <t xml:space="preserve"> , congestion VARCHAR(100) COMMENT '混雑度'</t>
  </si>
  <si>
    <t xml:space="preserve"> , outside_bath VARCHAR(100) COMMENT '外気浴'</t>
  </si>
  <si>
    <t xml:space="preserve"> , music VARCHAR(100) COMMENT '音楽'</t>
  </si>
  <si>
    <t xml:space="preserve"> , mat VARCHAR(100) COMMENT 'サウナマット'</t>
  </si>
  <si>
    <t xml:space="preserve"> , cleanliness VARCHAR(100) COMMENT '清潔度'</t>
  </si>
  <si>
    <t xml:space="preserve"> , age group VARCHAR(100) COMMENT '年齢層'</t>
  </si>
  <si>
    <t xml:space="preserve"> , review VARCHAR(1000) COMMENT '口コミ'</t>
  </si>
  <si>
    <t xml:space="preserve"> , del_flg INT(1) DEFAULT 0 COMMENT '削除フラグ（デフォルト：0 削除：1）'</t>
  </si>
  <si>
    <t xml:space="preserve"> , user_id INT(1) DEFAULT 0 COMMENT 'ユーザーID'</t>
  </si>
  <si>
    <t xml:space="preserve"> COMMENT = '店舗口コミ'</t>
  </si>
  <si>
    <t>CREATE TABLE sauna_db.experience (</t>
  </si>
  <si>
    <t xml:space="preserve"> , difficulty VARCHAR(50) COMMENT '難易度'</t>
  </si>
  <si>
    <t xml:space="preserve"> , time VARCHAR(50) COMMENT '所要時間'</t>
  </si>
  <si>
    <t xml:space="preserve"> COMMENT = '俺流サウナの楽しみ方'</t>
  </si>
  <si>
    <t>2022/5/7 18:58</t>
    <phoneticPr fontId="1"/>
  </si>
  <si>
    <t>更新日時</t>
    <rPh sb="0" eb="4">
      <t xml:space="preserve">コウシンニチジ </t>
    </rPh>
    <phoneticPr fontId="1"/>
  </si>
  <si>
    <t>update</t>
    <phoneticPr fontId="1"/>
  </si>
  <si>
    <t xml:space="preserve"> , update DATE DEFAULT 0 COMMENT '更新日時'</t>
  </si>
  <si>
    <t>2022/5/8 13:24</t>
    <phoneticPr fontId="1"/>
  </si>
  <si>
    <t>5/8</t>
    <phoneticPr fontId="1"/>
  </si>
  <si>
    <t>NOT NULL</t>
  </si>
  <si>
    <t>楽しみ方</t>
    <rPh sb="0" eb="1">
      <t xml:space="preserve">タノシミカタ </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</si>
</sst>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
    <numFmt numFmtId="177" formatCode="&quot;対象外：&quot;\ 00\ &quot;件&quot;"/>
    <numFmt numFmtId="178" formatCode="&quot;対象　：&quot;\ 00\ &quot;件&quot;"/>
    <numFmt numFmtId="179" formatCode="&quot;全件　：&quot;\ 00\ &quot;件&quot;"/>
  </numFmts>
  <fonts count="53">
    <font>
      <sz val="12"/>
      <color theme="1"/>
      <name val="游ゴシック"/>
      <family val="2"/>
      <charset val="128"/>
      <scheme val="minor"/>
    </font>
    <font>
      <sz val="6"/>
      <name val="游ゴシック"/>
      <family val="2"/>
      <charset val="128"/>
      <scheme val="minor"/>
    </font>
    <font>
      <b/>
      <sz val="20"/>
      <color theme="1"/>
      <name val="Meiryo UI"/>
      <family val="2"/>
      <charset val="128"/>
    </font>
    <font>
      <sz val="12"/>
      <color theme="1"/>
      <name val="Meiryo UI"/>
      <family val="2"/>
      <charset val="128"/>
    </font>
    <font>
      <b/>
      <sz val="12"/>
      <color theme="0"/>
      <name val="Meiryo UI"/>
      <family val="2"/>
      <charset val="128"/>
    </font>
    <font>
      <sz val="12"/>
      <color theme="0"/>
      <name val="Meiryo UI"/>
      <family val="2"/>
      <charset val="128"/>
    </font>
    <font>
      <b/>
      <sz val="10"/>
      <color theme="0"/>
      <name val="Meiryo UI"/>
      <family val="2"/>
      <charset val="128"/>
    </font>
    <font>
      <sz val="13"/>
      <color rgb="FF000000"/>
      <name val="メイリオ"/>
      <family val="2"/>
      <charset val="128"/>
    </font>
    <font>
      <b/>
      <i/>
      <sz val="12"/>
      <color rgb="FF000000"/>
      <name val="メイリオ"/>
      <family val="2"/>
      <charset val="128"/>
    </font>
    <font>
      <sz val="12"/>
      <color theme="1"/>
      <name val="メイリオ"/>
      <family val="2"/>
      <charset val="128"/>
    </font>
    <font>
      <sz val="14"/>
      <color rgb="FF000000"/>
      <name val="メイリオ"/>
      <family val="2"/>
      <charset val="128"/>
    </font>
    <font>
      <b/>
      <sz val="12"/>
      <color rgb="FFFF0000"/>
      <name val="メイリオ"/>
      <family val="2"/>
      <charset val="128"/>
    </font>
    <font>
      <b/>
      <sz val="13"/>
      <color rgb="FF0070C0"/>
      <name val="メイリオ"/>
      <family val="2"/>
      <charset val="128"/>
    </font>
    <font>
      <b/>
      <sz val="12"/>
      <color rgb="FF0070C0"/>
      <name val="メイリオ"/>
      <family val="2"/>
      <charset val="128"/>
    </font>
    <font>
      <sz val="12"/>
      <color rgb="FF000000"/>
      <name val="メイリオ"/>
      <family val="2"/>
      <charset val="128"/>
    </font>
    <font>
      <sz val="14"/>
      <color theme="1"/>
      <name val="メイリオ"/>
      <family val="2"/>
      <charset val="128"/>
    </font>
    <font>
      <b/>
      <sz val="36"/>
      <color theme="1"/>
      <name val="メイリオ"/>
      <family val="2"/>
      <charset val="128"/>
    </font>
    <font>
      <sz val="12"/>
      <color theme="0"/>
      <name val="メイリオ"/>
      <family val="2"/>
      <charset val="128"/>
    </font>
    <font>
      <sz val="14"/>
      <color theme="0"/>
      <name val="メイリオ"/>
      <family val="2"/>
      <charset val="128"/>
    </font>
    <font>
      <b/>
      <sz val="12"/>
      <color theme="9"/>
      <name val="メイリオ"/>
      <family val="2"/>
      <charset val="128"/>
    </font>
    <font>
      <sz val="13"/>
      <color theme="1"/>
      <name val="メイリオ"/>
      <family val="2"/>
      <charset val="128"/>
    </font>
    <font>
      <b/>
      <sz val="13"/>
      <color rgb="FF7030A0"/>
      <name val="メイリオ"/>
      <family val="2"/>
      <charset val="128"/>
    </font>
    <font>
      <b/>
      <i/>
      <sz val="12"/>
      <color rgb="FF7030A0"/>
      <name val="メイリオ"/>
      <family val="2"/>
      <charset val="128"/>
    </font>
    <font>
      <sz val="13"/>
      <color rgb="FFFF0000"/>
      <name val="メイリオ"/>
      <family val="2"/>
      <charset val="128"/>
    </font>
    <font>
      <b/>
      <sz val="14"/>
      <color rgb="FF000000"/>
      <name val="メイリオ"/>
      <family val="2"/>
      <charset val="128"/>
    </font>
    <font>
      <sz val="14"/>
      <color theme="0"/>
      <name val="Meiryo UI"/>
      <family val="2"/>
      <charset val="128"/>
    </font>
    <font>
      <sz val="14"/>
      <color rgb="FF000000"/>
      <name val="Meiryo UI"/>
      <family val="2"/>
      <charset val="128"/>
    </font>
    <font>
      <b/>
      <sz val="14"/>
      <color rgb="FF000000"/>
      <name val="Meiryo UI"/>
      <family val="2"/>
      <charset val="128"/>
    </font>
    <font>
      <sz val="14"/>
      <color theme="1"/>
      <name val="Meiryo UI"/>
      <family val="2"/>
      <charset val="128"/>
    </font>
    <font>
      <u/>
      <sz val="12"/>
      <color theme="10"/>
      <name val="游ゴシック"/>
      <family val="2"/>
      <charset val="128"/>
      <scheme val="minor"/>
    </font>
    <font>
      <b/>
      <sz val="12"/>
      <name val="Meiryo UI"/>
      <family val="2"/>
      <charset val="128"/>
    </font>
    <font>
      <b/>
      <sz val="14"/>
      <color rgb="FFFF0000"/>
      <name val="Meiryo UI"/>
      <family val="2"/>
      <charset val="128"/>
    </font>
    <font>
      <b/>
      <i/>
      <sz val="12"/>
      <color theme="3" tint="-0.249977111117893"/>
      <name val="Meiryo UI"/>
      <family val="2"/>
      <charset val="128"/>
    </font>
    <font>
      <b/>
      <sz val="12"/>
      <color theme="3" tint="-0.249977111117893"/>
      <name val="Meiryo UI"/>
      <family val="2"/>
      <charset val="128"/>
    </font>
    <font>
      <b/>
      <sz val="12"/>
      <color rgb="FF0070C0"/>
      <name val="Meiryo UI"/>
      <family val="2"/>
      <charset val="128"/>
    </font>
    <font>
      <b/>
      <sz val="11"/>
      <color theme="0"/>
      <name val="Meiryo UI"/>
      <family val="2"/>
      <charset val="128"/>
    </font>
    <font>
      <b/>
      <sz val="9"/>
      <color theme="0"/>
      <name val="Meiryo UI"/>
      <family val="2"/>
      <charset val="128"/>
    </font>
    <font>
      <sz val="9"/>
      <color theme="1"/>
      <name val="Meiryo UI"/>
      <family val="2"/>
      <charset val="128"/>
    </font>
    <font>
      <sz val="10"/>
      <color theme="0"/>
      <name val="Meiryo UI"/>
      <family val="2"/>
      <charset val="128"/>
    </font>
    <font>
      <b/>
      <sz val="18"/>
      <color theme="3" tint="-0.249977111117893"/>
      <name val="Meiryo UI"/>
      <family val="2"/>
      <charset val="128"/>
    </font>
    <font>
      <b/>
      <sz val="16"/>
      <color rgb="FF000000"/>
      <name val="Meiryo UI"/>
      <family val="2"/>
      <charset val="128"/>
    </font>
    <font>
      <sz val="12"/>
      <color theme="1"/>
      <name val="游ゴシック"/>
      <family val="2"/>
      <charset val="128"/>
      <scheme val="minor"/>
    </font>
    <font>
      <sz val="10"/>
      <color rgb="FF000000"/>
      <name val="Meiryo UI"/>
      <family val="2"/>
      <charset val="128"/>
    </font>
    <font>
      <b/>
      <sz val="14"/>
      <color theme="1"/>
      <name val="Meiryo UI"/>
      <family val="2"/>
      <charset val="128"/>
    </font>
    <font>
      <b/>
      <sz val="12"/>
      <color theme="3"/>
      <name val="Meiryo UI"/>
      <family val="2"/>
      <charset val="128"/>
    </font>
    <font>
      <b/>
      <sz val="24"/>
      <color theme="3"/>
      <name val="Meiryo UI"/>
      <family val="2"/>
      <charset val="128"/>
    </font>
    <font>
      <sz val="12"/>
      <color theme="3"/>
      <name val="Meiryo UI"/>
      <family val="2"/>
      <charset val="128"/>
    </font>
    <font>
      <b/>
      <sz val="12"/>
      <color theme="3" tint="-0.499984740745262"/>
      <name val="Meiryo UI"/>
      <family val="2"/>
      <charset val="128"/>
    </font>
    <font>
      <sz val="12"/>
      <color theme="3" tint="-0.499984740745262"/>
      <name val="Meiryo UI"/>
      <family val="2"/>
      <charset val="128"/>
    </font>
    <font>
      <b/>
      <sz val="14"/>
      <color theme="1"/>
      <name val="メイリオ"/>
      <family val="2"/>
      <charset val="128"/>
    </font>
    <font>
      <b/>
      <sz val="12"/>
      <color rgb="FF000000"/>
      <name val="メイリオ"/>
      <family val="2"/>
      <charset val="128"/>
    </font>
    <font>
      <sz val="14"/>
      <color rgb="FF000000"/>
      <name val="Calibri"/>
      <family val="2"/>
    </font>
    <font>
      <sz val="10"/>
      <color rgb="FF000000"/>
      <name val="Yu Gothic UI"/>
    </font>
  </fonts>
  <fills count="16">
    <fill>
      <patternFill patternType="none"/>
    </fill>
    <fill>
      <patternFill patternType="gray125"/>
    </fill>
    <fill>
      <patternFill patternType="solid">
        <fgColor theme="0" tint="-0.14999847407452621"/>
        <bgColor indexed="64"/>
      </patternFill>
    </fill>
    <fill>
      <patternFill patternType="solid">
        <fgColor theme="3"/>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2" tint="-0.749992370372631"/>
        <bgColor indexed="64"/>
      </patternFill>
    </fill>
    <fill>
      <patternFill patternType="solid">
        <fgColor theme="5"/>
        <bgColor indexed="64"/>
      </patternFill>
    </fill>
    <fill>
      <patternFill patternType="solid">
        <fgColor rgb="FF00B050"/>
        <bgColor indexed="64"/>
      </patternFill>
    </fill>
    <fill>
      <patternFill patternType="solid">
        <fgColor theme="1" tint="0.499984740745262"/>
        <bgColor indexed="64"/>
      </patternFill>
    </fill>
    <fill>
      <patternFill patternType="solid">
        <fgColor theme="2"/>
        <bgColor indexed="64"/>
      </patternFill>
    </fill>
    <fill>
      <patternFill patternType="solid">
        <fgColor theme="0"/>
        <bgColor indexed="64"/>
      </patternFill>
    </fill>
    <fill>
      <patternFill patternType="solid">
        <fgColor theme="7" tint="0.59999389629810485"/>
        <bgColor indexed="64"/>
      </patternFill>
    </fill>
    <fill>
      <patternFill patternType="solid">
        <fgColor theme="3" tint="-0.499984740745262"/>
        <bgColor indexed="64"/>
      </patternFill>
    </fill>
    <fill>
      <patternFill patternType="solid">
        <fgColor theme="8"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rgb="FF000000"/>
      </left>
      <right/>
      <top/>
      <bottom style="thin">
        <color rgb="FF000000"/>
      </bottom>
      <diagonal/>
    </border>
  </borders>
  <cellStyleXfs count="3">
    <xf numFmtId="0" fontId="0" fillId="0" borderId="0">
      <alignment vertical="center"/>
    </xf>
    <xf numFmtId="0" fontId="29" fillId="0" borderId="0" applyNumberFormat="0" applyFill="0" applyBorder="0" applyAlignment="0" applyProtection="0">
      <alignment vertical="center"/>
    </xf>
    <xf numFmtId="9" fontId="41" fillId="0" borderId="0" applyFont="0" applyFill="0" applyBorder="0" applyAlignment="0" applyProtection="0">
      <alignment vertical="center"/>
    </xf>
  </cellStyleXfs>
  <cellXfs count="195">
    <xf numFmtId="0" fontId="0" fillId="0" borderId="0" xfId="0">
      <alignment vertical="center"/>
    </xf>
    <xf numFmtId="0" fontId="2" fillId="0" borderId="0" xfId="0" applyFont="1">
      <alignment vertical="center"/>
    </xf>
    <xf numFmtId="0" fontId="3" fillId="0" borderId="0" xfId="0" applyFont="1">
      <alignment vertical="center"/>
    </xf>
    <xf numFmtId="0" fontId="4" fillId="3" borderId="1" xfId="0" applyFont="1" applyFill="1" applyBorder="1">
      <alignment vertical="center"/>
    </xf>
    <xf numFmtId="0" fontId="7" fillId="0" borderId="3" xfId="0" applyFont="1" applyBorder="1">
      <alignment vertical="center"/>
    </xf>
    <xf numFmtId="0" fontId="9" fillId="0" borderId="3" xfId="0" applyFont="1" applyBorder="1">
      <alignment vertical="center"/>
    </xf>
    <xf numFmtId="0" fontId="7" fillId="5" borderId="3" xfId="0" applyFont="1" applyFill="1" applyBorder="1">
      <alignment vertical="center"/>
    </xf>
    <xf numFmtId="0" fontId="9" fillId="5" borderId="3" xfId="0" applyFont="1" applyFill="1" applyBorder="1" applyAlignment="1">
      <alignment vertical="center" wrapText="1"/>
    </xf>
    <xf numFmtId="0" fontId="9" fillId="5" borderId="3" xfId="0" applyFont="1" applyFill="1" applyBorder="1">
      <alignment vertical="center"/>
    </xf>
    <xf numFmtId="0" fontId="9" fillId="0" borderId="0" xfId="0" applyFont="1">
      <alignment vertical="center"/>
    </xf>
    <xf numFmtId="0" fontId="9" fillId="5" borderId="0" xfId="0" applyFont="1" applyFill="1">
      <alignment vertical="center"/>
    </xf>
    <xf numFmtId="0" fontId="9" fillId="0" borderId="3" xfId="0" applyFont="1" applyBorder="1" applyAlignment="1">
      <alignment vertical="center" wrapText="1"/>
    </xf>
    <xf numFmtId="0" fontId="9" fillId="0" borderId="0" xfId="0" applyFont="1" applyAlignment="1">
      <alignment vertical="center" wrapText="1"/>
    </xf>
    <xf numFmtId="0" fontId="7" fillId="0" borderId="3" xfId="0" applyFont="1" applyBorder="1" applyAlignment="1">
      <alignment vertical="center" wrapText="1"/>
    </xf>
    <xf numFmtId="0" fontId="14" fillId="0" borderId="3" xfId="0" applyFont="1" applyBorder="1">
      <alignment vertical="center"/>
    </xf>
    <xf numFmtId="0" fontId="14" fillId="0" borderId="3" xfId="0" applyFont="1" applyBorder="1" applyAlignment="1">
      <alignment vertical="center" wrapText="1"/>
    </xf>
    <xf numFmtId="0" fontId="14" fillId="5" borderId="3" xfId="0" applyFont="1" applyFill="1" applyBorder="1">
      <alignment vertical="center"/>
    </xf>
    <xf numFmtId="0" fontId="15" fillId="0" borderId="0" xfId="0" applyFont="1">
      <alignment vertical="center"/>
    </xf>
    <xf numFmtId="0" fontId="15" fillId="0" borderId="3" xfId="0" applyFont="1" applyBorder="1">
      <alignment vertical="center"/>
    </xf>
    <xf numFmtId="0" fontId="10" fillId="0" borderId="3" xfId="0" applyFont="1" applyBorder="1">
      <alignment vertical="center"/>
    </xf>
    <xf numFmtId="0" fontId="10" fillId="0" borderId="3" xfId="0" applyFont="1" applyBorder="1" applyAlignment="1">
      <alignment vertical="center" wrapText="1"/>
    </xf>
    <xf numFmtId="0" fontId="10" fillId="5" borderId="3" xfId="0" applyFont="1" applyFill="1" applyBorder="1">
      <alignment vertical="center"/>
    </xf>
    <xf numFmtId="0" fontId="15" fillId="5" borderId="3" xfId="0" applyFont="1" applyFill="1" applyBorder="1" applyAlignment="1">
      <alignment vertical="center" wrapText="1"/>
    </xf>
    <xf numFmtId="0" fontId="15" fillId="5" borderId="3" xfId="0" applyFont="1" applyFill="1" applyBorder="1">
      <alignment vertical="center"/>
    </xf>
    <xf numFmtId="0" fontId="9" fillId="0" borderId="0" xfId="0" applyFont="1" applyAlignment="1">
      <alignment horizontal="center" vertical="center"/>
    </xf>
    <xf numFmtId="0" fontId="9" fillId="6" borderId="0" xfId="0" applyFont="1" applyFill="1" applyAlignment="1">
      <alignment vertical="center" wrapText="1"/>
    </xf>
    <xf numFmtId="0" fontId="9" fillId="6" borderId="0" xfId="0" applyFont="1" applyFill="1" applyAlignment="1">
      <alignment vertical="center"/>
    </xf>
    <xf numFmtId="0" fontId="17" fillId="7" borderId="3" xfId="0" applyFont="1" applyFill="1" applyBorder="1">
      <alignment vertical="center"/>
    </xf>
    <xf numFmtId="0" fontId="18" fillId="7" borderId="3" xfId="0" applyFont="1" applyFill="1" applyBorder="1">
      <alignment vertical="center"/>
    </xf>
    <xf numFmtId="0" fontId="17" fillId="7" borderId="4" xfId="0" applyFont="1" applyFill="1" applyBorder="1" applyAlignment="1">
      <alignment vertical="center" wrapText="1"/>
    </xf>
    <xf numFmtId="0" fontId="7" fillId="0" borderId="4" xfId="0" applyFont="1" applyBorder="1" applyAlignment="1">
      <alignment vertical="center" wrapText="1"/>
    </xf>
    <xf numFmtId="0" fontId="7" fillId="0" borderId="4" xfId="0" applyFont="1" applyBorder="1" applyAlignment="1">
      <alignment horizontal="left" vertical="center" wrapText="1"/>
    </xf>
    <xf numFmtId="0" fontId="9" fillId="0" borderId="4" xfId="0" applyFont="1" applyBorder="1" applyAlignment="1">
      <alignment vertical="center" wrapText="1"/>
    </xf>
    <xf numFmtId="0" fontId="9" fillId="5" borderId="4" xfId="0" applyFont="1" applyFill="1" applyBorder="1" applyAlignment="1">
      <alignment vertical="center" wrapText="1"/>
    </xf>
    <xf numFmtId="0" fontId="9" fillId="0" borderId="4" xfId="0" applyFont="1" applyBorder="1" applyAlignment="1">
      <alignment horizontal="left" vertical="center" wrapText="1"/>
    </xf>
    <xf numFmtId="0" fontId="9" fillId="0" borderId="4" xfId="0" applyFont="1" applyBorder="1" applyAlignment="1">
      <alignment vertical="top" wrapText="1"/>
    </xf>
    <xf numFmtId="0" fontId="17" fillId="7" borderId="1" xfId="0" applyFont="1" applyFill="1" applyBorder="1" applyAlignment="1">
      <alignment vertical="center" wrapText="1"/>
    </xf>
    <xf numFmtId="0" fontId="9" fillId="0" borderId="1" xfId="0" applyFont="1" applyBorder="1">
      <alignment vertical="center"/>
    </xf>
    <xf numFmtId="0" fontId="9" fillId="5" borderId="1" xfId="0" applyFont="1" applyFill="1" applyBorder="1">
      <alignment vertical="center"/>
    </xf>
    <xf numFmtId="0" fontId="20" fillId="0" borderId="4" xfId="0" applyFont="1" applyBorder="1" applyAlignment="1">
      <alignment vertical="center" wrapText="1"/>
    </xf>
    <xf numFmtId="0" fontId="14" fillId="0" borderId="3" xfId="0" quotePrefix="1" applyFont="1" applyBorder="1" applyAlignment="1">
      <alignment vertical="center" wrapText="1"/>
    </xf>
    <xf numFmtId="0" fontId="14" fillId="0" borderId="3" xfId="0" applyFont="1" applyBorder="1" applyAlignment="1">
      <alignment vertical="top" wrapText="1"/>
    </xf>
    <xf numFmtId="0" fontId="9" fillId="0" borderId="1" xfId="0" applyFont="1" applyBorder="1" applyAlignment="1">
      <alignment vertical="center" wrapText="1"/>
    </xf>
    <xf numFmtId="0" fontId="9" fillId="0" borderId="3" xfId="0" quotePrefix="1" applyFont="1" applyBorder="1" applyAlignment="1">
      <alignment vertical="top" wrapText="1"/>
    </xf>
    <xf numFmtId="0" fontId="7" fillId="5" borderId="3" xfId="0" applyFont="1" applyFill="1" applyBorder="1" applyAlignment="1">
      <alignment vertical="center" wrapText="1"/>
    </xf>
    <xf numFmtId="0" fontId="14" fillId="5" borderId="3" xfId="0" applyFont="1" applyFill="1" applyBorder="1" applyAlignment="1">
      <alignment vertical="center" wrapText="1"/>
    </xf>
    <xf numFmtId="0" fontId="23" fillId="5" borderId="4" xfId="0" applyFont="1" applyFill="1" applyBorder="1" applyAlignment="1">
      <alignment vertical="center" wrapText="1"/>
    </xf>
    <xf numFmtId="0" fontId="9" fillId="0" borderId="3" xfId="0" applyFont="1" applyFill="1" applyBorder="1">
      <alignment vertical="center"/>
    </xf>
    <xf numFmtId="0" fontId="10" fillId="0" borderId="3" xfId="0" applyFont="1" applyFill="1" applyBorder="1">
      <alignment vertical="center"/>
    </xf>
    <xf numFmtId="0" fontId="7" fillId="0" borderId="3" xfId="0" applyFont="1" applyFill="1" applyBorder="1">
      <alignment vertical="center"/>
    </xf>
    <xf numFmtId="0" fontId="14" fillId="0" borderId="3" xfId="0" applyFont="1" applyFill="1" applyBorder="1">
      <alignment vertical="center"/>
    </xf>
    <xf numFmtId="0" fontId="9" fillId="0" borderId="4" xfId="0" applyFont="1" applyFill="1" applyBorder="1" applyAlignment="1">
      <alignment vertical="center" wrapText="1"/>
    </xf>
    <xf numFmtId="0" fontId="9" fillId="0" borderId="1" xfId="0" applyFont="1" applyFill="1" applyBorder="1">
      <alignment vertical="center"/>
    </xf>
    <xf numFmtId="0" fontId="9" fillId="0" borderId="0" xfId="0" applyFont="1" applyFill="1">
      <alignment vertical="center"/>
    </xf>
    <xf numFmtId="0" fontId="9" fillId="0" borderId="3" xfId="0" applyFont="1" applyBorder="1" applyAlignment="1">
      <alignment horizontal="center" vertical="center"/>
    </xf>
    <xf numFmtId="0" fontId="9" fillId="0" borderId="3" xfId="0" applyFont="1" applyFill="1" applyBorder="1" applyAlignment="1">
      <alignment horizontal="center" vertical="center"/>
    </xf>
    <xf numFmtId="0" fontId="9" fillId="5" borderId="3" xfId="0" quotePrefix="1" applyFont="1" applyFill="1" applyBorder="1" applyAlignment="1">
      <alignment horizontal="center" vertical="center"/>
    </xf>
    <xf numFmtId="0" fontId="17" fillId="8" borderId="3" xfId="0" applyFont="1" applyFill="1" applyBorder="1" applyAlignment="1">
      <alignment horizontal="center" vertical="center"/>
    </xf>
    <xf numFmtId="0" fontId="3" fillId="0" borderId="0" xfId="0" applyFont="1" applyAlignment="1">
      <alignment horizontal="left" vertical="center"/>
    </xf>
    <xf numFmtId="0" fontId="5" fillId="3" borderId="3" xfId="0" applyFont="1" applyFill="1" applyBorder="1">
      <alignment vertical="center"/>
    </xf>
    <xf numFmtId="0" fontId="25" fillId="3" borderId="3" xfId="0" applyFont="1" applyFill="1" applyBorder="1">
      <alignment vertical="center"/>
    </xf>
    <xf numFmtId="0" fontId="3" fillId="2" borderId="3" xfId="0" applyFont="1" applyFill="1" applyBorder="1">
      <alignment vertical="center"/>
    </xf>
    <xf numFmtId="0" fontId="26" fillId="2" borderId="3" xfId="0" applyFont="1" applyFill="1" applyBorder="1">
      <alignment vertical="center"/>
    </xf>
    <xf numFmtId="0" fontId="26" fillId="2" borderId="3" xfId="0" applyFont="1" applyFill="1" applyBorder="1" applyAlignment="1">
      <alignment vertical="center" wrapText="1"/>
    </xf>
    <xf numFmtId="0" fontId="28" fillId="2" borderId="3" xfId="0" applyFont="1" applyFill="1" applyBorder="1">
      <alignment vertical="center"/>
    </xf>
    <xf numFmtId="0" fontId="3" fillId="0" borderId="1" xfId="0" applyFont="1" applyBorder="1" applyAlignment="1">
      <alignment horizontal="left" vertical="center"/>
    </xf>
    <xf numFmtId="0" fontId="3" fillId="0" borderId="1" xfId="0" applyFont="1" applyBorder="1">
      <alignment vertical="center"/>
    </xf>
    <xf numFmtId="49" fontId="3" fillId="0" borderId="0" xfId="0" applyNumberFormat="1" applyFont="1">
      <alignment vertical="center"/>
    </xf>
    <xf numFmtId="49" fontId="3" fillId="2" borderId="3" xfId="0" applyNumberFormat="1" applyFont="1" applyFill="1" applyBorder="1">
      <alignment vertical="center"/>
    </xf>
    <xf numFmtId="0" fontId="26" fillId="2" borderId="4" xfId="0" applyFont="1" applyFill="1" applyBorder="1">
      <alignment vertical="center"/>
    </xf>
    <xf numFmtId="0" fontId="25" fillId="3" borderId="5" xfId="0" applyFont="1" applyFill="1" applyBorder="1">
      <alignment vertical="center"/>
    </xf>
    <xf numFmtId="0" fontId="26" fillId="2" borderId="6" xfId="0" applyFont="1" applyFill="1" applyBorder="1">
      <alignment vertical="center"/>
    </xf>
    <xf numFmtId="0" fontId="26" fillId="2" borderId="1" xfId="0" applyFont="1" applyFill="1" applyBorder="1" applyAlignment="1">
      <alignment vertical="center" wrapText="1"/>
    </xf>
    <xf numFmtId="0" fontId="26" fillId="2" borderId="1" xfId="0" applyFont="1" applyFill="1" applyBorder="1">
      <alignment vertical="center"/>
    </xf>
    <xf numFmtId="0" fontId="29" fillId="2" borderId="1" xfId="1" applyFill="1" applyBorder="1" applyAlignment="1">
      <alignment vertical="center"/>
    </xf>
    <xf numFmtId="49" fontId="29" fillId="2" borderId="1" xfId="1" applyNumberFormat="1" applyFill="1" applyBorder="1" applyAlignment="1">
      <alignment vertical="center"/>
    </xf>
    <xf numFmtId="0" fontId="3" fillId="0" borderId="1" xfId="0" applyFont="1" applyBorder="1">
      <alignment vertical="center"/>
    </xf>
    <xf numFmtId="0" fontId="3" fillId="0" borderId="0" xfId="0" applyFont="1" applyBorder="1">
      <alignment vertical="center"/>
    </xf>
    <xf numFmtId="49" fontId="26" fillId="2" borderId="3" xfId="0" applyNumberFormat="1" applyFont="1" applyFill="1" applyBorder="1">
      <alignment vertical="center"/>
    </xf>
    <xf numFmtId="49" fontId="25" fillId="3" borderId="3" xfId="0" applyNumberFormat="1" applyFont="1" applyFill="1" applyBorder="1">
      <alignment vertical="center"/>
    </xf>
    <xf numFmtId="0" fontId="3" fillId="0" borderId="1" xfId="0" applyFont="1" applyBorder="1">
      <alignment vertical="center"/>
    </xf>
    <xf numFmtId="0" fontId="31" fillId="0" borderId="0" xfId="0" applyFont="1">
      <alignment vertical="center"/>
    </xf>
    <xf numFmtId="49" fontId="30" fillId="0" borderId="0" xfId="0" applyNumberFormat="1" applyFont="1" applyFill="1" applyBorder="1" applyAlignment="1">
      <alignment vertical="top"/>
    </xf>
    <xf numFmtId="0" fontId="33" fillId="0" borderId="0" xfId="0" applyFont="1">
      <alignment vertical="center"/>
    </xf>
    <xf numFmtId="0" fontId="3" fillId="0" borderId="0" xfId="0" applyFont="1" applyAlignment="1"/>
    <xf numFmtId="49" fontId="3" fillId="0" borderId="1" xfId="0" applyNumberFormat="1" applyFont="1" applyBorder="1" applyAlignment="1">
      <alignment vertical="center" shrinkToFit="1"/>
    </xf>
    <xf numFmtId="49" fontId="3" fillId="0" borderId="1" xfId="0" applyNumberFormat="1" applyFont="1" applyFill="1" applyBorder="1" applyAlignment="1">
      <alignment vertical="center" shrinkToFit="1"/>
    </xf>
    <xf numFmtId="176" fontId="3" fillId="0" borderId="1" xfId="0" applyNumberFormat="1" applyFont="1" applyFill="1" applyBorder="1" applyAlignment="1">
      <alignment vertical="center" shrinkToFit="1"/>
    </xf>
    <xf numFmtId="49" fontId="34" fillId="0" borderId="1" xfId="0" applyNumberFormat="1" applyFont="1" applyFill="1" applyBorder="1" applyAlignment="1">
      <alignment vertical="center" shrinkToFit="1"/>
    </xf>
    <xf numFmtId="49" fontId="3" fillId="0" borderId="0" xfId="0" applyNumberFormat="1" applyFont="1" applyFill="1">
      <alignment vertical="center"/>
    </xf>
    <xf numFmtId="0" fontId="3" fillId="0" borderId="0" xfId="0" applyFont="1" applyFill="1">
      <alignment vertical="center"/>
    </xf>
    <xf numFmtId="0" fontId="3" fillId="0" borderId="0" xfId="0" applyFont="1" applyFill="1" applyBorder="1">
      <alignment vertical="center"/>
    </xf>
    <xf numFmtId="0" fontId="4" fillId="3" borderId="1" xfId="0" applyFont="1" applyFill="1" applyBorder="1" applyAlignment="1"/>
    <xf numFmtId="0" fontId="4" fillId="3" borderId="1" xfId="0" applyFont="1" applyFill="1" applyBorder="1" applyAlignment="1">
      <alignment wrapText="1"/>
    </xf>
    <xf numFmtId="49" fontId="3" fillId="0" borderId="1" xfId="0" applyNumberFormat="1" applyFont="1" applyFill="1" applyBorder="1" applyAlignment="1">
      <alignment vertical="center"/>
    </xf>
    <xf numFmtId="0" fontId="37" fillId="0" borderId="0" xfId="0" applyFont="1" applyFill="1" applyAlignment="1">
      <alignment horizontal="right" vertical="top"/>
    </xf>
    <xf numFmtId="0" fontId="38" fillId="10" borderId="0" xfId="0" applyFont="1" applyFill="1" applyAlignment="1">
      <alignment horizontal="center"/>
    </xf>
    <xf numFmtId="0" fontId="37" fillId="0" borderId="0" xfId="0" applyFont="1" applyFill="1" applyAlignment="1">
      <alignment horizontal="right"/>
    </xf>
    <xf numFmtId="0" fontId="39" fillId="11" borderId="0" xfId="0" applyFont="1" applyFill="1">
      <alignment vertical="center"/>
    </xf>
    <xf numFmtId="0" fontId="3" fillId="11" borderId="0" xfId="0" applyFont="1" applyFill="1">
      <alignment vertical="center"/>
    </xf>
    <xf numFmtId="0" fontId="3" fillId="11" borderId="0" xfId="0" applyFont="1" applyFill="1" applyAlignment="1">
      <alignment horizontal="left" vertical="center"/>
    </xf>
    <xf numFmtId="0" fontId="3" fillId="12" borderId="7" xfId="0" applyFont="1" applyFill="1" applyBorder="1" applyAlignment="1"/>
    <xf numFmtId="0" fontId="3" fillId="12" borderId="2" xfId="0" applyFont="1" applyFill="1" applyBorder="1" applyAlignment="1"/>
    <xf numFmtId="0" fontId="3" fillId="12" borderId="11" xfId="0" applyFont="1" applyFill="1" applyBorder="1" applyAlignment="1"/>
    <xf numFmtId="0" fontId="3" fillId="12" borderId="14" xfId="0" applyFont="1" applyFill="1" applyBorder="1">
      <alignment vertical="center"/>
    </xf>
    <xf numFmtId="0" fontId="3" fillId="12" borderId="0" xfId="0" applyFont="1" applyFill="1" applyBorder="1">
      <alignment vertical="center"/>
    </xf>
    <xf numFmtId="0" fontId="3" fillId="12" borderId="16" xfId="0" applyFont="1" applyFill="1" applyBorder="1">
      <alignment vertical="center"/>
    </xf>
    <xf numFmtId="0" fontId="3" fillId="12" borderId="12" xfId="0" applyFont="1" applyFill="1" applyBorder="1">
      <alignment vertical="center"/>
    </xf>
    <xf numFmtId="0" fontId="3" fillId="12" borderId="15" xfId="0" applyFont="1" applyFill="1" applyBorder="1">
      <alignment vertical="center"/>
    </xf>
    <xf numFmtId="0" fontId="3" fillId="12" borderId="13" xfId="0" applyFont="1" applyFill="1" applyBorder="1">
      <alignment vertical="center"/>
    </xf>
    <xf numFmtId="0" fontId="5" fillId="3" borderId="6" xfId="0" applyFont="1" applyFill="1" applyBorder="1">
      <alignment vertical="center"/>
    </xf>
    <xf numFmtId="0" fontId="5" fillId="3" borderId="17" xfId="0" applyFont="1" applyFill="1" applyBorder="1">
      <alignment vertical="center"/>
    </xf>
    <xf numFmtId="0" fontId="5" fillId="3" borderId="1" xfId="0" applyFont="1" applyFill="1" applyBorder="1">
      <alignment vertical="center"/>
    </xf>
    <xf numFmtId="0" fontId="5" fillId="3" borderId="3" xfId="0" applyFont="1" applyFill="1" applyBorder="1" applyAlignment="1">
      <alignment horizontal="right" vertical="center"/>
    </xf>
    <xf numFmtId="0" fontId="44" fillId="0" borderId="0" xfId="0" applyFont="1" applyAlignment="1">
      <alignment horizontal="left" vertical="center"/>
    </xf>
    <xf numFmtId="0" fontId="44" fillId="0" borderId="0" xfId="0" applyFont="1" applyAlignment="1">
      <alignment horizontal="right" vertical="center"/>
    </xf>
    <xf numFmtId="0" fontId="44" fillId="0" borderId="0" xfId="0" applyFont="1">
      <alignment vertical="center"/>
    </xf>
    <xf numFmtId="0" fontId="45" fillId="0" borderId="0" xfId="0" applyFont="1">
      <alignment vertical="center"/>
    </xf>
    <xf numFmtId="0" fontId="46" fillId="0" borderId="0" xfId="0" applyFont="1" applyAlignment="1">
      <alignment horizontal="right" vertical="center"/>
    </xf>
    <xf numFmtId="0" fontId="46" fillId="0" borderId="0" xfId="0" applyFont="1">
      <alignment vertical="center"/>
    </xf>
    <xf numFmtId="2" fontId="46" fillId="0" borderId="3" xfId="0" applyNumberFormat="1" applyFont="1" applyBorder="1">
      <alignment vertical="center"/>
    </xf>
    <xf numFmtId="0" fontId="46" fillId="0" borderId="3" xfId="0" applyFont="1" applyBorder="1">
      <alignment vertical="center"/>
    </xf>
    <xf numFmtId="0" fontId="46" fillId="0" borderId="3" xfId="0" applyFont="1" applyBorder="1" applyAlignment="1">
      <alignment vertical="center" wrapText="1"/>
    </xf>
    <xf numFmtId="0" fontId="46" fillId="0" borderId="6" xfId="0" applyFont="1" applyBorder="1" applyAlignment="1">
      <alignment vertical="center" wrapText="1"/>
    </xf>
    <xf numFmtId="0" fontId="5" fillId="0" borderId="0" xfId="0" applyFont="1">
      <alignment vertical="center"/>
    </xf>
    <xf numFmtId="1" fontId="47" fillId="13" borderId="3" xfId="0" applyNumberFormat="1" applyFont="1" applyFill="1" applyBorder="1" applyAlignment="1">
      <alignment horizontal="right" vertical="center"/>
    </xf>
    <xf numFmtId="0" fontId="47" fillId="13" borderId="3" xfId="0" applyFont="1" applyFill="1" applyBorder="1">
      <alignment vertical="center"/>
    </xf>
    <xf numFmtId="1" fontId="48" fillId="0" borderId="3" xfId="0" applyNumberFormat="1" applyFont="1" applyBorder="1" applyAlignment="1">
      <alignment horizontal="right" vertical="center"/>
    </xf>
    <xf numFmtId="0" fontId="48" fillId="0" borderId="3" xfId="0" applyFont="1" applyBorder="1">
      <alignment vertical="center"/>
    </xf>
    <xf numFmtId="0" fontId="48" fillId="0" borderId="3" xfId="0" applyFont="1" applyBorder="1" applyAlignment="1">
      <alignment vertical="center" wrapText="1"/>
    </xf>
    <xf numFmtId="0" fontId="46" fillId="0" borderId="0" xfId="0" applyFont="1" applyAlignment="1">
      <alignment horizontal="left" vertical="center"/>
    </xf>
    <xf numFmtId="0" fontId="46" fillId="0" borderId="7" xfId="0" applyFont="1" applyBorder="1" applyAlignment="1">
      <alignment horizontal="right" vertical="center"/>
    </xf>
    <xf numFmtId="0" fontId="46" fillId="0" borderId="2" xfId="0" applyFont="1" applyBorder="1" applyAlignment="1">
      <alignment vertical="center"/>
    </xf>
    <xf numFmtId="0" fontId="46" fillId="0" borderId="2" xfId="0" applyFont="1" applyBorder="1">
      <alignment vertical="center"/>
    </xf>
    <xf numFmtId="0" fontId="46" fillId="0" borderId="11" xfId="0" applyFont="1" applyBorder="1">
      <alignment vertical="center"/>
    </xf>
    <xf numFmtId="0" fontId="46" fillId="0" borderId="14" xfId="0" applyFont="1" applyBorder="1" applyAlignment="1">
      <alignment horizontal="right" vertical="center"/>
    </xf>
    <xf numFmtId="0" fontId="46" fillId="0" borderId="0" xfId="0" applyFont="1" applyBorder="1" applyAlignment="1">
      <alignment horizontal="left" vertical="center" indent="2"/>
    </xf>
    <xf numFmtId="0" fontId="46" fillId="0" borderId="0" xfId="0" applyFont="1" applyBorder="1">
      <alignment vertical="center"/>
    </xf>
    <xf numFmtId="0" fontId="46" fillId="0" borderId="16" xfId="0" applyFont="1" applyBorder="1">
      <alignment vertical="center"/>
    </xf>
    <xf numFmtId="0" fontId="46" fillId="0" borderId="0" xfId="0" applyFont="1" applyBorder="1" applyAlignment="1">
      <alignment vertical="center"/>
    </xf>
    <xf numFmtId="0" fontId="44" fillId="0" borderId="0" xfId="0" applyFont="1" applyBorder="1" applyAlignment="1">
      <alignment horizontal="left" vertical="center" indent="2"/>
    </xf>
    <xf numFmtId="0" fontId="46" fillId="0" borderId="0" xfId="0" applyFont="1" applyBorder="1" applyAlignment="1">
      <alignment horizontal="left" vertical="center"/>
    </xf>
    <xf numFmtId="0" fontId="46" fillId="0" borderId="12" xfId="0" applyFont="1" applyBorder="1" applyAlignment="1">
      <alignment horizontal="right" vertical="center"/>
    </xf>
    <xf numFmtId="0" fontId="46" fillId="0" borderId="15" xfId="0" applyFont="1" applyBorder="1">
      <alignment vertical="center"/>
    </xf>
    <xf numFmtId="0" fontId="46" fillId="0" borderId="13" xfId="0" applyFont="1" applyBorder="1">
      <alignment vertical="center"/>
    </xf>
    <xf numFmtId="0" fontId="5" fillId="3" borderId="3" xfId="0" applyFont="1" applyFill="1" applyBorder="1" applyAlignment="1">
      <alignment horizontal="center" vertical="center"/>
    </xf>
    <xf numFmtId="1" fontId="47" fillId="13" borderId="3" xfId="0" applyNumberFormat="1" applyFont="1" applyFill="1" applyBorder="1" applyAlignment="1">
      <alignment horizontal="center" vertical="center"/>
    </xf>
    <xf numFmtId="1" fontId="48" fillId="0" borderId="3" xfId="0" applyNumberFormat="1" applyFont="1" applyBorder="1" applyAlignment="1">
      <alignment horizontal="center" vertical="center"/>
    </xf>
    <xf numFmtId="0" fontId="3" fillId="14" borderId="0" xfId="0" applyFont="1" applyFill="1">
      <alignment vertical="center"/>
    </xf>
    <xf numFmtId="0" fontId="32" fillId="0" borderId="0" xfId="0" applyFont="1" applyAlignment="1"/>
    <xf numFmtId="0" fontId="17" fillId="7" borderId="4" xfId="0" applyFont="1" applyFill="1" applyBorder="1" applyAlignment="1">
      <alignment horizontal="center" vertical="center"/>
    </xf>
    <xf numFmtId="0" fontId="14" fillId="0" borderId="4" xfId="0" applyFont="1" applyBorder="1" applyAlignment="1">
      <alignment horizontal="center" vertical="center"/>
    </xf>
    <xf numFmtId="0" fontId="14" fillId="0" borderId="4" xfId="0" applyFont="1" applyBorder="1" applyAlignment="1">
      <alignment horizontal="center" vertical="center" wrapText="1"/>
    </xf>
    <xf numFmtId="0" fontId="9" fillId="5" borderId="4" xfId="0" applyFont="1" applyFill="1" applyBorder="1" applyAlignment="1">
      <alignment horizontal="center" vertical="center"/>
    </xf>
    <xf numFmtId="0" fontId="14" fillId="0" borderId="4" xfId="0" quotePrefix="1" applyFont="1" applyBorder="1" applyAlignment="1">
      <alignment horizontal="center" vertical="center"/>
    </xf>
    <xf numFmtId="0" fontId="16" fillId="0" borderId="0" xfId="0" applyFont="1" applyAlignment="1">
      <alignment vertical="center"/>
    </xf>
    <xf numFmtId="0" fontId="9" fillId="6" borderId="0" xfId="0" applyFont="1" applyFill="1" applyAlignment="1"/>
    <xf numFmtId="0" fontId="46" fillId="0" borderId="15" xfId="0" applyFont="1" applyBorder="1" applyAlignment="1">
      <alignment horizontal="left" vertical="center"/>
    </xf>
    <xf numFmtId="178" fontId="9" fillId="0" borderId="0" xfId="0" applyNumberFormat="1" applyFont="1" applyAlignment="1">
      <alignment horizontal="left"/>
    </xf>
    <xf numFmtId="179" fontId="9" fillId="0" borderId="0" xfId="0" applyNumberFormat="1" applyFont="1" applyAlignment="1">
      <alignment horizontal="left"/>
    </xf>
    <xf numFmtId="177" fontId="9" fillId="0" borderId="0" xfId="0" applyNumberFormat="1" applyFont="1" applyAlignment="1">
      <alignment horizontal="left"/>
    </xf>
    <xf numFmtId="9" fontId="9" fillId="0" borderId="0" xfId="2" applyFont="1" applyAlignment="1">
      <alignment horizontal="center" vertical="center"/>
    </xf>
    <xf numFmtId="0" fontId="3" fillId="15" borderId="1" xfId="0" applyFont="1" applyFill="1" applyBorder="1" applyAlignment="1">
      <alignment horizontal="center" vertical="center"/>
    </xf>
    <xf numFmtId="0" fontId="35" fillId="9" borderId="1" xfId="0" applyFont="1" applyFill="1" applyBorder="1" applyAlignment="1">
      <alignment horizontal="center" vertical="top" wrapText="1"/>
    </xf>
    <xf numFmtId="0" fontId="4" fillId="3" borderId="1" xfId="0" applyFont="1" applyFill="1" applyBorder="1" applyAlignment="1">
      <alignment horizontal="center" vertical="top" wrapText="1"/>
    </xf>
    <xf numFmtId="0" fontId="35" fillId="3" borderId="1" xfId="0" applyFont="1" applyFill="1" applyBorder="1" applyAlignment="1">
      <alignment horizontal="center" vertical="top" wrapText="1"/>
    </xf>
    <xf numFmtId="0" fontId="6" fillId="3" borderId="1" xfId="0" applyFont="1" applyFill="1" applyBorder="1" applyAlignment="1">
      <alignment horizontal="center" vertical="top" wrapText="1"/>
    </xf>
    <xf numFmtId="0" fontId="6" fillId="9" borderId="1" xfId="0" applyFont="1" applyFill="1" applyBorder="1" applyAlignment="1">
      <alignment horizontal="center" vertical="top" wrapText="1"/>
    </xf>
    <xf numFmtId="0" fontId="10" fillId="0" borderId="3" xfId="0" applyFont="1" applyFill="1" applyBorder="1" applyAlignment="1">
      <alignment vertical="center" wrapText="1"/>
    </xf>
    <xf numFmtId="0" fontId="3" fillId="0" borderId="1" xfId="0" applyFont="1" applyFill="1" applyBorder="1" applyAlignment="1">
      <alignment horizontal="center" vertical="center"/>
    </xf>
    <xf numFmtId="49" fontId="3" fillId="0" borderId="1" xfId="0" quotePrefix="1" applyNumberFormat="1" applyFont="1" applyFill="1" applyBorder="1" applyAlignment="1">
      <alignment vertical="center" shrinkToFit="1"/>
    </xf>
    <xf numFmtId="14" fontId="46" fillId="0" borderId="3" xfId="0" applyNumberFormat="1" applyFont="1" applyBorder="1">
      <alignment vertical="center"/>
    </xf>
    <xf numFmtId="0" fontId="3" fillId="0" borderId="1" xfId="0" applyFont="1" applyFill="1" applyBorder="1" applyAlignment="1">
      <alignment horizontal="center" vertical="center"/>
    </xf>
    <xf numFmtId="0" fontId="46" fillId="0" borderId="0" xfId="0" applyFont="1" applyBorder="1" applyAlignment="1">
      <alignment horizontal="right" vertical="center"/>
    </xf>
    <xf numFmtId="0" fontId="46" fillId="0" borderId="15" xfId="0" applyFont="1" applyBorder="1" applyAlignment="1">
      <alignment horizontal="left" vertical="center" indent="2"/>
    </xf>
    <xf numFmtId="0" fontId="3"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5" fillId="3" borderId="1" xfId="0" applyFont="1" applyFill="1" applyBorder="1" applyAlignment="1">
      <alignment horizontal="center" vertical="center"/>
    </xf>
    <xf numFmtId="0" fontId="9" fillId="0" borderId="0" xfId="0" applyFont="1" applyAlignment="1">
      <alignment horizontal="left" vertical="center" wrapText="1"/>
    </xf>
    <xf numFmtId="0" fontId="9" fillId="0" borderId="0" xfId="0" applyFont="1" applyAlignment="1">
      <alignment horizontal="left" vertical="center"/>
    </xf>
    <xf numFmtId="0" fontId="3" fillId="4" borderId="0" xfId="0" applyFont="1" applyFill="1" applyAlignment="1">
      <alignment horizontal="left" vertical="top" wrapText="1"/>
    </xf>
    <xf numFmtId="0" fontId="4" fillId="3" borderId="12" xfId="0" applyFont="1" applyFill="1" applyBorder="1" applyAlignment="1">
      <alignment horizontal="center" vertical="center"/>
    </xf>
    <xf numFmtId="0" fontId="4" fillId="3" borderId="15" xfId="0" applyFont="1" applyFill="1" applyBorder="1" applyAlignment="1">
      <alignment horizontal="center" vertical="center"/>
    </xf>
    <xf numFmtId="49" fontId="3" fillId="0" borderId="9" xfId="0" applyNumberFormat="1" applyFont="1" applyFill="1" applyBorder="1" applyAlignment="1">
      <alignment horizontal="left" vertical="center" shrinkToFit="1"/>
    </xf>
    <xf numFmtId="49" fontId="3" fillId="0" borderId="10" xfId="0" applyNumberFormat="1" applyFont="1" applyFill="1" applyBorder="1" applyAlignment="1">
      <alignment horizontal="left" vertical="center" shrinkToFit="1"/>
    </xf>
    <xf numFmtId="49" fontId="3" fillId="0" borderId="8" xfId="0" applyNumberFormat="1" applyFont="1" applyFill="1" applyBorder="1" applyAlignment="1">
      <alignment horizontal="left" vertical="center" shrinkToFit="1"/>
    </xf>
    <xf numFmtId="49" fontId="3" fillId="0" borderId="1" xfId="0" applyNumberFormat="1" applyFont="1" applyFill="1" applyBorder="1" applyAlignment="1">
      <alignment horizontal="left" vertical="center" shrinkToFit="1"/>
    </xf>
    <xf numFmtId="0" fontId="4" fillId="3" borderId="9" xfId="0" applyFont="1" applyFill="1" applyBorder="1" applyAlignment="1">
      <alignment horizontal="left" vertical="center"/>
    </xf>
    <xf numFmtId="0" fontId="4" fillId="3" borderId="8" xfId="0" applyFont="1" applyFill="1" applyBorder="1" applyAlignment="1">
      <alignment horizontal="left" vertical="center"/>
    </xf>
    <xf numFmtId="49" fontId="3" fillId="0" borderId="1" xfId="0" applyNumberFormat="1" applyFont="1" applyFill="1" applyBorder="1" applyAlignment="1">
      <alignment horizontal="left" vertical="center"/>
    </xf>
    <xf numFmtId="49" fontId="3" fillId="0" borderId="1" xfId="0" applyNumberFormat="1" applyFont="1" applyFill="1" applyBorder="1" applyAlignment="1">
      <alignment horizontal="left" vertical="top" wrapText="1" shrinkToFit="1"/>
    </xf>
    <xf numFmtId="49" fontId="3" fillId="0" borderId="1" xfId="0" applyNumberFormat="1" applyFont="1" applyFill="1" applyBorder="1" applyAlignment="1">
      <alignment horizontal="left" vertical="top" shrinkToFit="1"/>
    </xf>
    <xf numFmtId="0" fontId="4" fillId="3" borderId="1" xfId="0" applyFont="1" applyFill="1" applyBorder="1" applyAlignment="1">
      <alignment horizontal="left" vertical="center"/>
    </xf>
    <xf numFmtId="0" fontId="3" fillId="0" borderId="1" xfId="0" applyFont="1" applyFill="1" applyBorder="1" applyAlignment="1">
      <alignment horizontal="center" vertical="center"/>
    </xf>
  </cellXfs>
  <cellStyles count="3">
    <cellStyle name="パーセント" xfId="2" builtinId="5"/>
    <cellStyle name="ハイパーリンク" xfId="1" builtinId="8"/>
    <cellStyle name="標準" xfId="0" builtinId="0"/>
  </cellStyles>
  <dxfs count="10">
    <dxf>
      <font>
        <b val="0"/>
        <i val="0"/>
        <color theme="1"/>
      </font>
      <fill>
        <patternFill>
          <fgColor auto="1"/>
          <bgColor theme="7" tint="0.79998168889431442"/>
        </patternFill>
      </fill>
    </dxf>
    <dxf>
      <font>
        <b val="0"/>
        <i val="0"/>
        <color theme="1"/>
      </font>
      <fill>
        <patternFill>
          <fgColor auto="1"/>
          <bgColor theme="7" tint="0.79998168889431442"/>
        </patternFill>
      </fill>
    </dxf>
    <dxf>
      <font>
        <b val="0"/>
        <i val="0"/>
        <color theme="1"/>
      </font>
      <fill>
        <patternFill>
          <fgColor auto="1"/>
          <bgColor theme="7" tint="0.79998168889431442"/>
        </patternFill>
      </fill>
    </dxf>
    <dxf>
      <font>
        <b val="0"/>
        <i val="0"/>
        <color theme="1"/>
      </font>
      <fill>
        <patternFill>
          <fgColor auto="1"/>
          <bgColor theme="7" tint="0.79998168889431442"/>
        </patternFill>
      </fill>
    </dxf>
    <dxf>
      <font>
        <b val="0"/>
        <i val="0"/>
        <color theme="1"/>
      </font>
      <fill>
        <patternFill>
          <fgColor auto="1"/>
          <bgColor theme="7" tint="0.79998168889431442"/>
        </patternFill>
      </fill>
    </dxf>
    <dxf>
      <font>
        <b val="0"/>
        <i val="0"/>
        <color theme="1"/>
      </font>
      <fill>
        <patternFill>
          <fgColor auto="1"/>
          <bgColor theme="7" tint="0.79998168889431442"/>
        </patternFill>
      </fill>
    </dxf>
    <dxf>
      <font>
        <b val="0"/>
        <i val="0"/>
        <color theme="1"/>
      </font>
      <fill>
        <patternFill>
          <fgColor auto="1"/>
          <bgColor theme="7" tint="0.79998168889431442"/>
        </patternFill>
      </fill>
    </dxf>
    <dxf>
      <font>
        <b val="0"/>
        <i val="0"/>
        <color theme="1"/>
      </font>
      <fill>
        <patternFill>
          <fgColor auto="1"/>
          <bgColor theme="7" tint="0.79998168889431442"/>
        </patternFill>
      </fill>
    </dxf>
    <dxf>
      <font>
        <b val="0"/>
        <i val="0"/>
        <color theme="1"/>
      </font>
      <fill>
        <patternFill>
          <fgColor auto="1"/>
          <bgColor theme="7" tint="0.79998168889431442"/>
        </patternFill>
      </fill>
    </dxf>
    <dxf>
      <font>
        <b val="0"/>
        <i val="0"/>
        <color theme="1"/>
      </font>
      <fill>
        <patternFill>
          <fgColor auto="1"/>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292100</xdr:colOff>
          <xdr:row>2</xdr:row>
          <xdr:rowOff>0</xdr:rowOff>
        </xdr:from>
        <xdr:to>
          <xdr:col>15</xdr:col>
          <xdr:colOff>114300</xdr:colOff>
          <xdr:row>8</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600" b="1" i="0" u="none" strike="noStrike" baseline="0">
                  <a:solidFill>
                    <a:srgbClr val="000000"/>
                  </a:solidFill>
                  <a:latin typeface="Meiryo UI" charset="-128"/>
                  <a:ea typeface="Meiryo UI" charset="-128"/>
                </a:rPr>
                <a:t>CREATE 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9</xdr:row>
          <xdr:rowOff>0</xdr:rowOff>
        </xdr:from>
        <xdr:to>
          <xdr:col>27</xdr:col>
          <xdr:colOff>584200</xdr:colOff>
          <xdr:row>11</xdr:row>
          <xdr:rowOff>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4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Copy CreateSQL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4</xdr:row>
          <xdr:rowOff>0</xdr:rowOff>
        </xdr:from>
        <xdr:to>
          <xdr:col>27</xdr:col>
          <xdr:colOff>584200</xdr:colOff>
          <xdr:row>7</xdr:row>
          <xdr:rowOff>114300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4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Back InputForm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292100</xdr:colOff>
          <xdr:row>2</xdr:row>
          <xdr:rowOff>0</xdr:rowOff>
        </xdr:from>
        <xdr:to>
          <xdr:col>15</xdr:col>
          <xdr:colOff>114300</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600" b="1" i="0" u="none" strike="noStrike" baseline="0">
                  <a:solidFill>
                    <a:srgbClr val="000000"/>
                  </a:solidFill>
                  <a:latin typeface="Meiryo UI" charset="-128"/>
                  <a:ea typeface="Meiryo UI" charset="-128"/>
                </a:rPr>
                <a:t>CREATE 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9</xdr:row>
          <xdr:rowOff>0</xdr:rowOff>
        </xdr:from>
        <xdr:to>
          <xdr:col>27</xdr:col>
          <xdr:colOff>584200</xdr:colOff>
          <xdr:row>11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Copy CreateSQL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4</xdr:row>
          <xdr:rowOff>0</xdr:rowOff>
        </xdr:from>
        <xdr:to>
          <xdr:col>27</xdr:col>
          <xdr:colOff>584200</xdr:colOff>
          <xdr:row>7</xdr:row>
          <xdr:rowOff>114300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Back InputForm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292100</xdr:colOff>
          <xdr:row>2</xdr:row>
          <xdr:rowOff>0</xdr:rowOff>
        </xdr:from>
        <xdr:to>
          <xdr:col>15</xdr:col>
          <xdr:colOff>114300</xdr:colOff>
          <xdr:row>8</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600" b="1" i="0" u="none" strike="noStrike" baseline="0">
                  <a:solidFill>
                    <a:srgbClr val="000000"/>
                  </a:solidFill>
                  <a:latin typeface="Meiryo UI" charset="-128"/>
                  <a:ea typeface="Meiryo UI" charset="-128"/>
                </a:rPr>
                <a:t>CREATE 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9</xdr:row>
          <xdr:rowOff>0</xdr:rowOff>
        </xdr:from>
        <xdr:to>
          <xdr:col>27</xdr:col>
          <xdr:colOff>584200</xdr:colOff>
          <xdr:row>11</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Copy CreateSQL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4</xdr:row>
          <xdr:rowOff>0</xdr:rowOff>
        </xdr:from>
        <xdr:to>
          <xdr:col>27</xdr:col>
          <xdr:colOff>584200</xdr:colOff>
          <xdr:row>7</xdr:row>
          <xdr:rowOff>114300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6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Back InputForm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292100</xdr:colOff>
          <xdr:row>2</xdr:row>
          <xdr:rowOff>0</xdr:rowOff>
        </xdr:from>
        <xdr:to>
          <xdr:col>15</xdr:col>
          <xdr:colOff>114300</xdr:colOff>
          <xdr:row>8</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600" b="1" i="0" u="none" strike="noStrike" baseline="0">
                  <a:solidFill>
                    <a:srgbClr val="000000"/>
                  </a:solidFill>
                  <a:latin typeface="Meiryo UI" charset="-128"/>
                  <a:ea typeface="Meiryo UI" charset="-128"/>
                </a:rPr>
                <a:t>CREATE 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9</xdr:row>
          <xdr:rowOff>0</xdr:rowOff>
        </xdr:from>
        <xdr:to>
          <xdr:col>27</xdr:col>
          <xdr:colOff>584200</xdr:colOff>
          <xdr:row>11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Copy CreateSQL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4</xdr:row>
          <xdr:rowOff>0</xdr:rowOff>
        </xdr:from>
        <xdr:to>
          <xdr:col>27</xdr:col>
          <xdr:colOff>584200</xdr:colOff>
          <xdr:row>7</xdr:row>
          <xdr:rowOff>114300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Back InputForm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292100</xdr:colOff>
          <xdr:row>2</xdr:row>
          <xdr:rowOff>0</xdr:rowOff>
        </xdr:from>
        <xdr:to>
          <xdr:col>15</xdr:col>
          <xdr:colOff>114300</xdr:colOff>
          <xdr:row>8</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8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600" b="1" i="0" u="none" strike="noStrike" baseline="0">
                  <a:solidFill>
                    <a:srgbClr val="000000"/>
                  </a:solidFill>
                  <a:latin typeface="Meiryo UI" charset="-128"/>
                  <a:ea typeface="Meiryo UI" charset="-128"/>
                </a:rPr>
                <a:t>CREATE 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9</xdr:row>
          <xdr:rowOff>0</xdr:rowOff>
        </xdr:from>
        <xdr:to>
          <xdr:col>27</xdr:col>
          <xdr:colOff>584200</xdr:colOff>
          <xdr:row>11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8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Copy CreateSQL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4</xdr:row>
          <xdr:rowOff>0</xdr:rowOff>
        </xdr:from>
        <xdr:to>
          <xdr:col>27</xdr:col>
          <xdr:colOff>584200</xdr:colOff>
          <xdr:row>7</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8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Back InputForm</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hyperlink" Target="https://dev.mysql.com/doc/refman/5.6/ja/innodb-storage-engine.html" TargetMode="External"/><Relationship Id="rId2" Type="http://schemas.openxmlformats.org/officeDocument/2006/relationships/hyperlink" Target="https://dev.mysql.com/doc/refman/5.6/ja/myisam-storage-engine.html" TargetMode="External"/><Relationship Id="rId1" Type="http://schemas.openxmlformats.org/officeDocument/2006/relationships/hyperlink" Target="https://dev.mysql.com/doc/refman/5.6/ja/csv-storage-engine.html" TargetMode="Externa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omments" Target="../comments3.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omments" Target="../comments4.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CE35F-4807-504B-AC89-2C0A29CE6FDA}">
  <sheetPr codeName="Sheet1"/>
  <dimension ref="A1:Q42"/>
  <sheetViews>
    <sheetView showGridLines="0" topLeftCell="A9" zoomScale="117" workbookViewId="0"/>
  </sheetViews>
  <sheetFormatPr baseColWidth="10" defaultColWidth="11.5703125" defaultRowHeight="18"/>
  <cols>
    <col min="1" max="1" width="1.42578125" style="119" customWidth="1"/>
    <col min="2" max="2" width="6.42578125" style="119" customWidth="1"/>
    <col min="3" max="4" width="4.42578125" style="118" customWidth="1"/>
    <col min="5" max="5" width="21.28515625" style="119" customWidth="1"/>
    <col min="6" max="6" width="47.5703125" style="119" customWidth="1"/>
    <col min="7" max="7" width="21.7109375" style="119" bestFit="1" customWidth="1"/>
    <col min="8" max="8" width="8.5703125" style="119" bestFit="1" customWidth="1"/>
    <col min="9" max="9" width="3.28515625" style="119" customWidth="1"/>
    <col min="10" max="10" width="6.42578125" style="119" customWidth="1"/>
    <col min="11" max="11" width="11.5703125" style="119"/>
    <col min="12" max="12" width="17.28515625" style="119" customWidth="1"/>
    <col min="13" max="13" width="29.7109375" style="119" customWidth="1"/>
    <col min="14" max="14" width="11.5703125" style="119" customWidth="1"/>
    <col min="15" max="16384" width="11.5703125" style="119"/>
  </cols>
  <sheetData>
    <row r="1" spans="1:17" ht="32">
      <c r="A1" s="117" t="s">
        <v>493</v>
      </c>
      <c r="B1" s="117"/>
    </row>
    <row r="2" spans="1:17">
      <c r="N2" s="119" t="s">
        <v>402</v>
      </c>
    </row>
    <row r="3" spans="1:17">
      <c r="B3" s="114" t="s">
        <v>397</v>
      </c>
      <c r="D3" s="115"/>
      <c r="E3" s="116"/>
      <c r="F3" s="116"/>
      <c r="G3" s="116"/>
      <c r="H3" s="116"/>
      <c r="I3" s="116"/>
      <c r="J3" s="116" t="s">
        <v>1</v>
      </c>
      <c r="N3" s="178" t="s">
        <v>401</v>
      </c>
      <c r="O3" s="178"/>
      <c r="P3" s="178"/>
    </row>
    <row r="4" spans="1:17" s="124" customFormat="1">
      <c r="B4" s="145" t="s">
        <v>447</v>
      </c>
      <c r="C4" s="113" t="s">
        <v>406</v>
      </c>
      <c r="D4" s="113" t="s">
        <v>407</v>
      </c>
      <c r="E4" s="59" t="s">
        <v>405</v>
      </c>
      <c r="F4" s="59" t="s">
        <v>429</v>
      </c>
      <c r="G4" s="59" t="s">
        <v>417</v>
      </c>
      <c r="H4" s="59" t="s">
        <v>430</v>
      </c>
      <c r="J4" s="59" t="s">
        <v>2</v>
      </c>
      <c r="K4" s="59" t="s">
        <v>3</v>
      </c>
      <c r="L4" s="59" t="s">
        <v>4</v>
      </c>
      <c r="M4" s="59" t="s">
        <v>5</v>
      </c>
      <c r="N4" s="110" t="s">
        <v>396</v>
      </c>
      <c r="O4" s="110" t="s">
        <v>403</v>
      </c>
      <c r="P4" s="111" t="s">
        <v>0</v>
      </c>
      <c r="Q4" s="112" t="s">
        <v>404</v>
      </c>
    </row>
    <row r="5" spans="1:17" ht="19">
      <c r="B5" s="146" t="str">
        <f>IF(AND(C5&lt;&gt;"",D5&lt;&gt;""),C5&amp;"_"&amp;D5,"")</f>
        <v>1_0</v>
      </c>
      <c r="C5" s="125">
        <v>1</v>
      </c>
      <c r="D5" s="125">
        <v>0</v>
      </c>
      <c r="E5" s="126" t="s">
        <v>410</v>
      </c>
      <c r="F5" s="126" t="s">
        <v>408</v>
      </c>
      <c r="G5" s="126" t="s">
        <v>418</v>
      </c>
      <c r="H5" s="126" t="s">
        <v>506</v>
      </c>
      <c r="J5" s="120" t="s">
        <v>543</v>
      </c>
      <c r="K5" s="171">
        <v>43524</v>
      </c>
      <c r="L5" s="121" t="s">
        <v>504</v>
      </c>
      <c r="M5" s="121" t="s">
        <v>511</v>
      </c>
      <c r="N5" s="122" t="s">
        <v>510</v>
      </c>
      <c r="O5" s="122">
        <v>8</v>
      </c>
      <c r="P5" s="122">
        <v>16.22</v>
      </c>
      <c r="Q5" s="123"/>
    </row>
    <row r="6" spans="1:17" ht="19">
      <c r="B6" s="147" t="str">
        <f t="shared" ref="B6:B13" si="0">IF(AND(C6&lt;&gt;"",D6&lt;&gt;""),C6&amp;"_"&amp;D6,"")</f>
        <v>1_1</v>
      </c>
      <c r="C6" s="127">
        <v>1</v>
      </c>
      <c r="D6" s="127">
        <v>1</v>
      </c>
      <c r="E6" s="128" t="s">
        <v>423</v>
      </c>
      <c r="F6" s="129" t="s">
        <v>424</v>
      </c>
      <c r="G6" s="129" t="s">
        <v>425</v>
      </c>
      <c r="H6" s="128" t="s">
        <v>506</v>
      </c>
      <c r="J6" s="120" t="s">
        <v>542</v>
      </c>
      <c r="K6" s="171">
        <v>43535</v>
      </c>
      <c r="L6" s="121" t="s">
        <v>504</v>
      </c>
      <c r="M6" s="121" t="s">
        <v>532</v>
      </c>
      <c r="N6" s="122" t="s">
        <v>531</v>
      </c>
      <c r="O6" s="122"/>
      <c r="P6" s="122"/>
      <c r="Q6" s="123"/>
    </row>
    <row r="7" spans="1:17" ht="19">
      <c r="B7" s="147" t="str">
        <f t="shared" si="0"/>
        <v>1_2</v>
      </c>
      <c r="C7" s="127">
        <v>1</v>
      </c>
      <c r="D7" s="127">
        <v>2</v>
      </c>
      <c r="E7" s="128" t="s">
        <v>411</v>
      </c>
      <c r="F7" s="129" t="s">
        <v>412</v>
      </c>
      <c r="G7" s="129" t="s">
        <v>426</v>
      </c>
      <c r="H7" s="128" t="s">
        <v>506</v>
      </c>
      <c r="J7" s="120" t="s">
        <v>541</v>
      </c>
      <c r="K7" s="171">
        <v>43596</v>
      </c>
      <c r="L7" s="121" t="s">
        <v>504</v>
      </c>
      <c r="M7" s="121" t="s">
        <v>540</v>
      </c>
      <c r="N7" s="122" t="s">
        <v>531</v>
      </c>
      <c r="O7" s="122"/>
      <c r="P7" s="122"/>
      <c r="Q7" s="123"/>
    </row>
    <row r="8" spans="1:17">
      <c r="B8" s="147" t="str">
        <f t="shared" si="0"/>
        <v>1_3</v>
      </c>
      <c r="C8" s="127">
        <v>1</v>
      </c>
      <c r="D8" s="127">
        <v>3</v>
      </c>
      <c r="E8" s="128" t="s">
        <v>409</v>
      </c>
      <c r="F8" s="128" t="s">
        <v>413</v>
      </c>
      <c r="G8" s="128" t="s">
        <v>425</v>
      </c>
      <c r="H8" s="128" t="s">
        <v>506</v>
      </c>
      <c r="J8" s="120"/>
      <c r="K8" s="121"/>
      <c r="L8" s="121"/>
      <c r="M8" s="121"/>
      <c r="N8" s="122"/>
      <c r="O8" s="122"/>
      <c r="P8" s="122"/>
      <c r="Q8" s="123"/>
    </row>
    <row r="9" spans="1:17">
      <c r="B9" s="146" t="str">
        <f t="shared" si="0"/>
        <v>2_0</v>
      </c>
      <c r="C9" s="125">
        <v>2</v>
      </c>
      <c r="D9" s="125">
        <v>0</v>
      </c>
      <c r="E9" s="126" t="s">
        <v>398</v>
      </c>
      <c r="F9" s="126" t="s">
        <v>419</v>
      </c>
      <c r="G9" s="126" t="s">
        <v>418</v>
      </c>
      <c r="H9" s="126" t="s">
        <v>507</v>
      </c>
      <c r="J9" s="120"/>
      <c r="K9" s="121"/>
      <c r="L9" s="121"/>
      <c r="M9" s="121"/>
      <c r="N9" s="121"/>
      <c r="O9" s="121"/>
      <c r="P9" s="121"/>
      <c r="Q9" s="121"/>
    </row>
    <row r="10" spans="1:17">
      <c r="B10" s="147" t="str">
        <f t="shared" si="0"/>
        <v>2_1</v>
      </c>
      <c r="C10" s="127">
        <v>2</v>
      </c>
      <c r="D10" s="127">
        <v>1</v>
      </c>
      <c r="E10" s="128" t="s">
        <v>415</v>
      </c>
      <c r="F10" s="128" t="s">
        <v>416</v>
      </c>
      <c r="G10" s="128" t="s">
        <v>425</v>
      </c>
      <c r="H10" s="128" t="s">
        <v>506</v>
      </c>
      <c r="J10" s="120"/>
      <c r="K10" s="121"/>
      <c r="L10" s="121"/>
      <c r="M10" s="121"/>
      <c r="N10" s="121"/>
      <c r="O10" s="121"/>
      <c r="P10" s="121"/>
      <c r="Q10" s="121"/>
    </row>
    <row r="11" spans="1:17">
      <c r="B11" s="146" t="str">
        <f t="shared" si="0"/>
        <v>3_0</v>
      </c>
      <c r="C11" s="125">
        <v>3</v>
      </c>
      <c r="D11" s="125">
        <v>0</v>
      </c>
      <c r="E11" s="126" t="s">
        <v>420</v>
      </c>
      <c r="F11" s="126" t="s">
        <v>421</v>
      </c>
      <c r="G11" s="126" t="s">
        <v>427</v>
      </c>
      <c r="H11" s="126" t="s">
        <v>506</v>
      </c>
      <c r="J11" s="120"/>
      <c r="K11" s="121"/>
      <c r="L11" s="121"/>
      <c r="M11" s="121"/>
      <c r="N11" s="121"/>
      <c r="O11" s="121"/>
      <c r="P11" s="121"/>
      <c r="Q11" s="121"/>
    </row>
    <row r="12" spans="1:17">
      <c r="B12" s="147" t="str">
        <f t="shared" si="0"/>
        <v>3_1</v>
      </c>
      <c r="C12" s="127">
        <v>3</v>
      </c>
      <c r="D12" s="127">
        <v>1</v>
      </c>
      <c r="E12" s="128" t="s">
        <v>508</v>
      </c>
      <c r="F12" s="128" t="s">
        <v>509</v>
      </c>
      <c r="G12" s="128" t="s">
        <v>422</v>
      </c>
      <c r="H12" s="128" t="s">
        <v>506</v>
      </c>
      <c r="J12" s="120"/>
      <c r="K12" s="121"/>
      <c r="L12" s="121"/>
      <c r="M12" s="121"/>
      <c r="N12" s="121"/>
      <c r="O12" s="121"/>
      <c r="P12" s="121"/>
      <c r="Q12" s="121"/>
    </row>
    <row r="13" spans="1:17">
      <c r="B13" s="147" t="str">
        <f t="shared" si="0"/>
        <v>3_2</v>
      </c>
      <c r="C13" s="127">
        <v>3</v>
      </c>
      <c r="D13" s="127">
        <v>2</v>
      </c>
      <c r="E13" s="128" t="s">
        <v>400</v>
      </c>
      <c r="F13" s="128" t="s">
        <v>399</v>
      </c>
      <c r="G13" s="128" t="s">
        <v>428</v>
      </c>
      <c r="H13" s="128" t="s">
        <v>530</v>
      </c>
      <c r="J13" s="120"/>
      <c r="K13" s="121"/>
      <c r="L13" s="121"/>
      <c r="M13" s="121"/>
      <c r="N13" s="121"/>
      <c r="O13" s="121"/>
      <c r="P13" s="121"/>
      <c r="Q13" s="121"/>
    </row>
    <row r="14" spans="1:17">
      <c r="J14" s="120"/>
      <c r="K14" s="121"/>
      <c r="L14" s="121"/>
      <c r="M14" s="121"/>
      <c r="N14" s="121"/>
      <c r="O14" s="121"/>
      <c r="P14" s="121"/>
      <c r="Q14" s="121"/>
    </row>
    <row r="15" spans="1:17">
      <c r="B15" s="114" t="s">
        <v>537</v>
      </c>
      <c r="J15" s="120"/>
      <c r="K15" s="121"/>
      <c r="L15" s="121"/>
      <c r="M15" s="121"/>
      <c r="N15" s="121"/>
      <c r="O15" s="121"/>
      <c r="P15" s="121"/>
      <c r="Q15" s="121"/>
    </row>
    <row r="16" spans="1:17">
      <c r="B16" s="131">
        <v>1</v>
      </c>
      <c r="C16" s="132" t="s">
        <v>544</v>
      </c>
      <c r="D16" s="133"/>
      <c r="E16" s="133"/>
      <c r="F16" s="133"/>
      <c r="G16" s="133"/>
      <c r="H16" s="134"/>
      <c r="J16" s="120"/>
      <c r="K16" s="121"/>
      <c r="L16" s="121"/>
      <c r="M16" s="121"/>
      <c r="N16" s="121"/>
      <c r="O16" s="121"/>
      <c r="P16" s="121"/>
      <c r="Q16" s="121"/>
    </row>
    <row r="17" spans="2:17">
      <c r="B17" s="135"/>
      <c r="C17" s="136" t="s">
        <v>538</v>
      </c>
      <c r="D17" s="137"/>
      <c r="E17" s="137"/>
      <c r="F17" s="137"/>
      <c r="G17" s="137"/>
      <c r="H17" s="138"/>
      <c r="J17" s="120"/>
      <c r="K17" s="121"/>
      <c r="L17" s="121"/>
      <c r="M17" s="121"/>
      <c r="N17" s="121"/>
      <c r="O17" s="121"/>
      <c r="P17" s="121"/>
      <c r="Q17" s="121"/>
    </row>
    <row r="18" spans="2:17">
      <c r="B18" s="142">
        <v>2</v>
      </c>
      <c r="C18" s="174" t="s">
        <v>539</v>
      </c>
      <c r="D18" s="143"/>
      <c r="E18" s="143"/>
      <c r="F18" s="143"/>
      <c r="G18" s="143"/>
      <c r="H18" s="144"/>
      <c r="J18" s="120"/>
      <c r="K18" s="121"/>
      <c r="L18" s="121"/>
      <c r="M18" s="121"/>
      <c r="N18" s="121"/>
      <c r="O18" s="121"/>
      <c r="P18" s="121"/>
      <c r="Q18" s="121"/>
    </row>
    <row r="19" spans="2:17">
      <c r="B19" s="173"/>
      <c r="C19" s="136"/>
      <c r="D19" s="137"/>
      <c r="E19" s="137"/>
      <c r="F19" s="137"/>
      <c r="G19" s="137"/>
      <c r="H19" s="137"/>
      <c r="J19" s="120"/>
      <c r="K19" s="121"/>
      <c r="L19" s="121"/>
      <c r="M19" s="121"/>
      <c r="N19" s="121"/>
      <c r="O19" s="121"/>
      <c r="P19" s="121"/>
      <c r="Q19" s="121"/>
    </row>
    <row r="20" spans="2:17">
      <c r="B20" s="114" t="s">
        <v>431</v>
      </c>
      <c r="J20" s="120"/>
      <c r="K20" s="121"/>
      <c r="L20" s="121"/>
      <c r="M20" s="121"/>
      <c r="N20" s="121"/>
      <c r="O20" s="121"/>
      <c r="P20" s="121"/>
      <c r="Q20" s="121"/>
    </row>
    <row r="21" spans="2:17">
      <c r="B21" s="131">
        <v>1</v>
      </c>
      <c r="C21" s="132" t="s">
        <v>439</v>
      </c>
      <c r="D21" s="133"/>
      <c r="E21" s="133"/>
      <c r="F21" s="133"/>
      <c r="G21" s="133"/>
      <c r="H21" s="134"/>
      <c r="J21" s="120"/>
      <c r="K21" s="121"/>
      <c r="L21" s="121"/>
      <c r="M21" s="121"/>
      <c r="N21" s="121"/>
      <c r="O21" s="121"/>
      <c r="P21" s="121"/>
      <c r="Q21" s="121"/>
    </row>
    <row r="22" spans="2:17">
      <c r="B22" s="135"/>
      <c r="C22" s="136" t="s">
        <v>446</v>
      </c>
      <c r="D22" s="137"/>
      <c r="E22" s="137"/>
      <c r="F22" s="137"/>
      <c r="G22" s="137"/>
      <c r="H22" s="138"/>
      <c r="J22" s="120"/>
      <c r="K22" s="121"/>
      <c r="L22" s="121"/>
      <c r="M22" s="121"/>
      <c r="N22" s="121"/>
      <c r="O22" s="121"/>
      <c r="P22" s="121"/>
      <c r="Q22" s="121"/>
    </row>
    <row r="23" spans="2:17">
      <c r="B23" s="135"/>
      <c r="C23" s="136"/>
      <c r="D23" s="137"/>
      <c r="E23" s="137"/>
      <c r="F23" s="137"/>
      <c r="G23" s="137"/>
      <c r="H23" s="138"/>
      <c r="J23" s="120"/>
      <c r="K23" s="121"/>
      <c r="L23" s="121"/>
      <c r="M23" s="121"/>
      <c r="N23" s="121"/>
      <c r="O23" s="121"/>
      <c r="P23" s="121"/>
      <c r="Q23" s="121"/>
    </row>
    <row r="24" spans="2:17">
      <c r="B24" s="135">
        <v>2</v>
      </c>
      <c r="C24" s="139" t="s">
        <v>445</v>
      </c>
      <c r="D24" s="137"/>
      <c r="E24" s="137"/>
      <c r="F24" s="137"/>
      <c r="G24" s="137"/>
      <c r="H24" s="138"/>
      <c r="J24" s="120"/>
      <c r="K24" s="121"/>
      <c r="L24" s="121"/>
      <c r="M24" s="121"/>
      <c r="N24" s="121"/>
      <c r="O24" s="121"/>
      <c r="P24" s="121"/>
      <c r="Q24" s="121"/>
    </row>
    <row r="25" spans="2:17">
      <c r="B25" s="135"/>
      <c r="C25" s="139" t="s">
        <v>437</v>
      </c>
      <c r="D25" s="137"/>
      <c r="E25" s="137"/>
      <c r="F25" s="137"/>
      <c r="G25" s="137"/>
      <c r="H25" s="138"/>
      <c r="J25" s="120"/>
      <c r="K25" s="121"/>
      <c r="L25" s="121"/>
      <c r="M25" s="121"/>
      <c r="N25" s="121"/>
      <c r="O25" s="121"/>
      <c r="P25" s="121"/>
      <c r="Q25" s="121"/>
    </row>
    <row r="26" spans="2:17">
      <c r="B26" s="135"/>
      <c r="C26" s="140" t="s">
        <v>438</v>
      </c>
      <c r="D26" s="137"/>
      <c r="E26" s="137"/>
      <c r="F26" s="137"/>
      <c r="G26" s="137"/>
      <c r="H26" s="138"/>
      <c r="J26" s="120"/>
      <c r="K26" s="121"/>
      <c r="L26" s="121"/>
      <c r="M26" s="121"/>
      <c r="N26" s="121"/>
      <c r="O26" s="121"/>
      <c r="P26" s="121"/>
      <c r="Q26" s="121"/>
    </row>
    <row r="27" spans="2:17">
      <c r="B27" s="135"/>
      <c r="C27" s="136" t="s">
        <v>432</v>
      </c>
      <c r="D27" s="137"/>
      <c r="E27" s="137"/>
      <c r="F27" s="137"/>
      <c r="G27" s="137"/>
      <c r="H27" s="138"/>
      <c r="J27" s="120"/>
      <c r="K27" s="121"/>
      <c r="L27" s="121"/>
      <c r="M27" s="121"/>
      <c r="N27" s="121"/>
      <c r="O27" s="121"/>
      <c r="P27" s="121"/>
      <c r="Q27" s="121"/>
    </row>
    <row r="28" spans="2:17">
      <c r="B28" s="135"/>
      <c r="C28" s="136" t="s">
        <v>440</v>
      </c>
      <c r="D28" s="137"/>
      <c r="E28" s="137"/>
      <c r="F28" s="137"/>
      <c r="G28" s="137"/>
      <c r="H28" s="138"/>
      <c r="J28" s="120"/>
      <c r="K28" s="121"/>
      <c r="L28" s="121"/>
      <c r="M28" s="121"/>
      <c r="N28" s="121"/>
      <c r="O28" s="121"/>
      <c r="P28" s="121"/>
      <c r="Q28" s="121"/>
    </row>
    <row r="29" spans="2:17">
      <c r="B29" s="135"/>
      <c r="C29" s="139" t="s">
        <v>433</v>
      </c>
      <c r="D29" s="137"/>
      <c r="E29" s="137"/>
      <c r="F29" s="137"/>
      <c r="G29" s="137"/>
      <c r="H29" s="138"/>
      <c r="J29" s="120"/>
      <c r="K29" s="121"/>
      <c r="L29" s="121"/>
      <c r="M29" s="121"/>
      <c r="N29" s="121"/>
      <c r="O29" s="121"/>
      <c r="P29" s="121"/>
      <c r="Q29" s="121"/>
    </row>
    <row r="30" spans="2:17">
      <c r="B30" s="135"/>
      <c r="C30" s="140" t="s">
        <v>436</v>
      </c>
      <c r="D30" s="137"/>
      <c r="E30" s="137"/>
      <c r="F30" s="137"/>
      <c r="G30" s="137"/>
      <c r="H30" s="138"/>
      <c r="J30" s="120"/>
      <c r="K30" s="121"/>
      <c r="L30" s="121"/>
      <c r="M30" s="121"/>
      <c r="N30" s="121"/>
      <c r="O30" s="121"/>
      <c r="P30" s="121"/>
      <c r="Q30" s="121"/>
    </row>
    <row r="31" spans="2:17">
      <c r="B31" s="135"/>
      <c r="C31" s="136" t="s">
        <v>434</v>
      </c>
      <c r="D31" s="137"/>
      <c r="E31" s="137"/>
      <c r="F31" s="137"/>
      <c r="G31" s="137"/>
      <c r="H31" s="138"/>
      <c r="J31" s="120"/>
      <c r="K31" s="121"/>
      <c r="L31" s="121"/>
      <c r="M31" s="121"/>
      <c r="N31" s="121"/>
      <c r="O31" s="121"/>
      <c r="P31" s="121"/>
      <c r="Q31" s="121"/>
    </row>
    <row r="32" spans="2:17">
      <c r="B32" s="135"/>
      <c r="C32" s="139" t="s">
        <v>435</v>
      </c>
      <c r="D32" s="137"/>
      <c r="E32" s="137"/>
      <c r="F32" s="137"/>
      <c r="G32" s="137"/>
      <c r="H32" s="138"/>
      <c r="J32" s="120"/>
      <c r="K32" s="121"/>
      <c r="L32" s="121"/>
      <c r="M32" s="121"/>
      <c r="N32" s="121"/>
      <c r="O32" s="121"/>
      <c r="P32" s="121"/>
      <c r="Q32" s="121"/>
    </row>
    <row r="33" spans="2:8">
      <c r="B33" s="135"/>
      <c r="C33" s="141" t="s">
        <v>443</v>
      </c>
      <c r="D33" s="137"/>
      <c r="E33" s="137"/>
      <c r="F33" s="137"/>
      <c r="G33" s="137"/>
      <c r="H33" s="138"/>
    </row>
    <row r="34" spans="2:8">
      <c r="B34" s="135"/>
      <c r="C34" s="141" t="s">
        <v>441</v>
      </c>
      <c r="D34" s="137"/>
      <c r="E34" s="137"/>
      <c r="F34" s="137"/>
      <c r="G34" s="137"/>
      <c r="H34" s="138"/>
    </row>
    <row r="35" spans="2:8">
      <c r="B35" s="135"/>
      <c r="C35" s="141" t="s">
        <v>442</v>
      </c>
      <c r="D35" s="137"/>
      <c r="E35" s="137"/>
      <c r="F35" s="137"/>
      <c r="G35" s="137"/>
      <c r="H35" s="138"/>
    </row>
    <row r="36" spans="2:8">
      <c r="B36" s="135"/>
      <c r="C36" s="141" t="s">
        <v>458</v>
      </c>
      <c r="D36" s="137"/>
      <c r="E36" s="137"/>
      <c r="F36" s="137"/>
      <c r="G36" s="137"/>
      <c r="H36" s="138"/>
    </row>
    <row r="37" spans="2:8">
      <c r="B37" s="135"/>
      <c r="C37" s="141" t="s">
        <v>462</v>
      </c>
      <c r="D37" s="137"/>
      <c r="E37" s="137"/>
      <c r="F37" s="137"/>
      <c r="G37" s="137"/>
      <c r="H37" s="138"/>
    </row>
    <row r="38" spans="2:8">
      <c r="B38" s="135"/>
      <c r="C38" s="130" t="s">
        <v>494</v>
      </c>
      <c r="D38" s="137"/>
      <c r="E38" s="137"/>
      <c r="F38" s="137"/>
      <c r="G38" s="137"/>
      <c r="H38" s="138"/>
    </row>
    <row r="39" spans="2:8">
      <c r="B39" s="135"/>
      <c r="C39" s="130" t="s">
        <v>463</v>
      </c>
      <c r="D39" s="137"/>
      <c r="E39" s="137"/>
      <c r="F39" s="137"/>
      <c r="G39" s="137"/>
      <c r="H39" s="138"/>
    </row>
    <row r="40" spans="2:8">
      <c r="B40" s="142"/>
      <c r="C40" s="157"/>
      <c r="D40" s="143"/>
      <c r="E40" s="143"/>
      <c r="F40" s="143"/>
      <c r="G40" s="143"/>
      <c r="H40" s="144"/>
    </row>
    <row r="42" spans="2:8">
      <c r="C42" s="119"/>
    </row>
  </sheetData>
  <mergeCells count="1">
    <mergeCell ref="N3:P3"/>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81E77-CB68-4645-9BA4-8A7347D4041C}">
  <sheetPr codeName="Sheet4">
    <tabColor theme="2" tint="-0.249977111117893"/>
  </sheetPr>
  <dimension ref="A1:J43"/>
  <sheetViews>
    <sheetView workbookViewId="0">
      <pane xSplit="1" ySplit="8" topLeftCell="B18" activePane="bottomRight" state="frozen"/>
      <selection activeCell="N32" sqref="N32"/>
      <selection pane="topRight" activeCell="N32" sqref="N32"/>
      <selection pane="bottomLeft" activeCell="N32" sqref="N32"/>
      <selection pane="bottomRight" activeCell="N32" sqref="N32"/>
    </sheetView>
  </sheetViews>
  <sheetFormatPr baseColWidth="10" defaultColWidth="10.7109375" defaultRowHeight="23"/>
  <cols>
    <col min="1" max="1" width="3" style="9" customWidth="1"/>
    <col min="2" max="2" width="11.5703125" style="9" customWidth="1"/>
    <col min="3" max="3" width="8.42578125" style="24" customWidth="1"/>
    <col min="4" max="4" width="32" style="17" customWidth="1"/>
    <col min="5" max="5" width="44.85546875" style="9" customWidth="1"/>
    <col min="6" max="6" width="38.140625" style="9" bestFit="1" customWidth="1"/>
    <col min="7" max="8" width="6.85546875" style="24" customWidth="1"/>
    <col min="9" max="9" width="89.85546875" style="12" customWidth="1"/>
    <col min="10" max="16384" width="10.7109375" style="9"/>
  </cols>
  <sheetData>
    <row r="1" spans="1:10" ht="57">
      <c r="A1" s="155" t="s">
        <v>89</v>
      </c>
      <c r="F1" s="159">
        <f>SUM(F2:F3)</f>
        <v>35</v>
      </c>
      <c r="I1" s="25" t="s">
        <v>88</v>
      </c>
    </row>
    <row r="2" spans="1:10">
      <c r="F2" s="158">
        <f>COUNTIF(C:C,"○")</f>
        <v>22</v>
      </c>
      <c r="G2" s="161">
        <f>F2/F1</f>
        <v>0.62857142857142856</v>
      </c>
      <c r="I2" s="156" t="s">
        <v>8</v>
      </c>
    </row>
    <row r="3" spans="1:10">
      <c r="F3" s="160">
        <f>COUNTIF(C:C,"ー")</f>
        <v>13</v>
      </c>
      <c r="I3" s="26" t="s">
        <v>9</v>
      </c>
    </row>
    <row r="4" spans="1:10" ht="23" customHeight="1">
      <c r="B4" s="179" t="s">
        <v>90</v>
      </c>
      <c r="C4" s="180"/>
      <c r="D4" s="180"/>
      <c r="E4" s="180"/>
      <c r="F4" s="180"/>
      <c r="I4" s="26" t="s">
        <v>10</v>
      </c>
    </row>
    <row r="5" spans="1:10" ht="23" customHeight="1">
      <c r="B5" s="180"/>
      <c r="C5" s="180"/>
      <c r="D5" s="180"/>
      <c r="E5" s="180"/>
      <c r="F5" s="180"/>
      <c r="I5" s="26" t="s">
        <v>11</v>
      </c>
    </row>
    <row r="6" spans="1:10" ht="23" customHeight="1">
      <c r="B6" s="180"/>
      <c r="C6" s="180"/>
      <c r="D6" s="180"/>
      <c r="E6" s="180"/>
      <c r="F6" s="180"/>
      <c r="I6" s="26" t="s">
        <v>12</v>
      </c>
    </row>
    <row r="7" spans="1:10" ht="8" customHeight="1"/>
    <row r="8" spans="1:10">
      <c r="B8" s="27" t="s">
        <v>13</v>
      </c>
      <c r="C8" s="57" t="s">
        <v>132</v>
      </c>
      <c r="D8" s="28" t="s">
        <v>14</v>
      </c>
      <c r="E8" s="27" t="s">
        <v>13</v>
      </c>
      <c r="F8" s="27" t="s">
        <v>68</v>
      </c>
      <c r="G8" s="150" t="s">
        <v>453</v>
      </c>
      <c r="H8" s="150" t="s">
        <v>454</v>
      </c>
      <c r="I8" s="29" t="s">
        <v>15</v>
      </c>
      <c r="J8" s="36" t="s">
        <v>97</v>
      </c>
    </row>
    <row r="9" spans="1:10" ht="46">
      <c r="B9" s="5" t="s">
        <v>16</v>
      </c>
      <c r="C9" s="54" t="s">
        <v>17</v>
      </c>
      <c r="D9" s="19" t="s">
        <v>133</v>
      </c>
      <c r="E9" s="4" t="s">
        <v>18</v>
      </c>
      <c r="F9" s="14" t="s">
        <v>70</v>
      </c>
      <c r="G9" s="151" t="s">
        <v>17</v>
      </c>
      <c r="H9" s="154" t="s">
        <v>22</v>
      </c>
      <c r="I9" s="30" t="s">
        <v>69</v>
      </c>
      <c r="J9" s="37"/>
    </row>
    <row r="10" spans="1:10" ht="69">
      <c r="B10" s="5" t="s">
        <v>16</v>
      </c>
      <c r="C10" s="54" t="s">
        <v>17</v>
      </c>
      <c r="D10" s="19" t="s">
        <v>134</v>
      </c>
      <c r="E10" s="4" t="s">
        <v>77</v>
      </c>
      <c r="F10" s="15" t="s">
        <v>71</v>
      </c>
      <c r="G10" s="152" t="s">
        <v>17</v>
      </c>
      <c r="H10" s="154" t="s">
        <v>22</v>
      </c>
      <c r="I10" s="30" t="s">
        <v>66</v>
      </c>
      <c r="J10" s="37"/>
    </row>
    <row r="11" spans="1:10" ht="69">
      <c r="B11" s="5" t="s">
        <v>16</v>
      </c>
      <c r="C11" s="54" t="s">
        <v>17</v>
      </c>
      <c r="D11" s="19" t="s">
        <v>19</v>
      </c>
      <c r="E11" s="4" t="s">
        <v>19</v>
      </c>
      <c r="F11" s="14" t="s">
        <v>72</v>
      </c>
      <c r="G11" s="154" t="s">
        <v>22</v>
      </c>
      <c r="H11" s="154" t="s">
        <v>22</v>
      </c>
      <c r="I11" s="31" t="s">
        <v>20</v>
      </c>
      <c r="J11" s="37"/>
    </row>
    <row r="12" spans="1:10" ht="69">
      <c r="B12" s="5" t="s">
        <v>374</v>
      </c>
      <c r="C12" s="54" t="s">
        <v>17</v>
      </c>
      <c r="D12" s="19" t="s">
        <v>135</v>
      </c>
      <c r="E12" s="4" t="s">
        <v>76</v>
      </c>
      <c r="F12" s="15" t="s">
        <v>73</v>
      </c>
      <c r="G12" s="152" t="s">
        <v>17</v>
      </c>
      <c r="H12" s="154" t="s">
        <v>22</v>
      </c>
      <c r="I12" s="30" t="s">
        <v>67</v>
      </c>
      <c r="J12" s="37"/>
    </row>
    <row r="13" spans="1:10" ht="63">
      <c r="B13" s="5" t="s">
        <v>16</v>
      </c>
      <c r="C13" s="54" t="s">
        <v>17</v>
      </c>
      <c r="D13" s="19" t="s">
        <v>136</v>
      </c>
      <c r="E13" s="4" t="s">
        <v>79</v>
      </c>
      <c r="F13" s="15" t="s">
        <v>75</v>
      </c>
      <c r="G13" s="152" t="s">
        <v>17</v>
      </c>
      <c r="H13" s="154" t="s">
        <v>22</v>
      </c>
      <c r="I13" s="32" t="s">
        <v>74</v>
      </c>
      <c r="J13" s="37"/>
    </row>
    <row r="14" spans="1:10" ht="63">
      <c r="B14" s="5" t="s">
        <v>16</v>
      </c>
      <c r="C14" s="54" t="s">
        <v>17</v>
      </c>
      <c r="D14" s="18" t="s">
        <v>21</v>
      </c>
      <c r="E14" s="5" t="s">
        <v>78</v>
      </c>
      <c r="F14" s="11" t="s">
        <v>81</v>
      </c>
      <c r="G14" s="152" t="s">
        <v>17</v>
      </c>
      <c r="H14" s="154" t="s">
        <v>22</v>
      </c>
      <c r="I14" s="32" t="s">
        <v>80</v>
      </c>
      <c r="J14" s="37"/>
    </row>
    <row r="15" spans="1:10" ht="63">
      <c r="B15" s="5" t="s">
        <v>16</v>
      </c>
      <c r="C15" s="54" t="s">
        <v>17</v>
      </c>
      <c r="D15" s="19" t="s">
        <v>137</v>
      </c>
      <c r="E15" s="4" t="s">
        <v>93</v>
      </c>
      <c r="F15" s="11" t="s">
        <v>83</v>
      </c>
      <c r="G15" s="152" t="s">
        <v>17</v>
      </c>
      <c r="H15" s="154" t="s">
        <v>22</v>
      </c>
      <c r="I15" s="32" t="s">
        <v>82</v>
      </c>
      <c r="J15" s="37"/>
    </row>
    <row r="16" spans="1:10" ht="42">
      <c r="B16" s="5" t="s">
        <v>16</v>
      </c>
      <c r="C16" s="54" t="s">
        <v>17</v>
      </c>
      <c r="D16" s="18" t="s">
        <v>85</v>
      </c>
      <c r="E16" s="11" t="s">
        <v>377</v>
      </c>
      <c r="F16" s="5" t="s">
        <v>87</v>
      </c>
      <c r="G16" s="152" t="s">
        <v>17</v>
      </c>
      <c r="H16" s="154" t="s">
        <v>22</v>
      </c>
      <c r="I16" s="32" t="s">
        <v>86</v>
      </c>
      <c r="J16" s="37"/>
    </row>
    <row r="17" spans="2:10" ht="126">
      <c r="B17" s="5" t="s">
        <v>16</v>
      </c>
      <c r="C17" s="54" t="s">
        <v>17</v>
      </c>
      <c r="D17" s="18" t="s">
        <v>468</v>
      </c>
      <c r="E17" s="5" t="s">
        <v>94</v>
      </c>
      <c r="F17" s="11" t="s">
        <v>92</v>
      </c>
      <c r="G17" s="152" t="s">
        <v>17</v>
      </c>
      <c r="H17" s="154" t="s">
        <v>22</v>
      </c>
      <c r="I17" s="32" t="s">
        <v>91</v>
      </c>
      <c r="J17" s="37"/>
    </row>
    <row r="18" spans="2:10" ht="189">
      <c r="B18" s="5" t="s">
        <v>16</v>
      </c>
      <c r="C18" s="54" t="s">
        <v>17</v>
      </c>
      <c r="D18" s="18" t="s">
        <v>469</v>
      </c>
      <c r="E18" s="5" t="s">
        <v>378</v>
      </c>
      <c r="F18" s="11" t="s">
        <v>96</v>
      </c>
      <c r="G18" s="152" t="s">
        <v>17</v>
      </c>
      <c r="H18" s="154" t="s">
        <v>22</v>
      </c>
      <c r="I18" s="34" t="s">
        <v>95</v>
      </c>
      <c r="J18" s="37"/>
    </row>
    <row r="19" spans="2:10" ht="69">
      <c r="B19" s="5" t="s">
        <v>151</v>
      </c>
      <c r="C19" s="54" t="s">
        <v>17</v>
      </c>
      <c r="D19" s="19" t="s">
        <v>32</v>
      </c>
      <c r="E19" s="4" t="s">
        <v>32</v>
      </c>
      <c r="F19" s="40" t="s">
        <v>101</v>
      </c>
      <c r="G19" s="154" t="s">
        <v>22</v>
      </c>
      <c r="H19" s="154" t="s">
        <v>22</v>
      </c>
      <c r="I19" s="39" t="s">
        <v>98</v>
      </c>
      <c r="J19" s="37"/>
    </row>
    <row r="20" spans="2:10" ht="210">
      <c r="B20" s="5" t="s">
        <v>151</v>
      </c>
      <c r="C20" s="54" t="s">
        <v>17</v>
      </c>
      <c r="D20" s="19" t="s">
        <v>138</v>
      </c>
      <c r="E20" s="4" t="s">
        <v>457</v>
      </c>
      <c r="F20" s="41" t="s">
        <v>100</v>
      </c>
      <c r="G20" s="154" t="s">
        <v>22</v>
      </c>
      <c r="H20" s="154" t="s">
        <v>22</v>
      </c>
      <c r="I20" s="32" t="s">
        <v>33</v>
      </c>
      <c r="J20" s="37"/>
    </row>
    <row r="21" spans="2:10" ht="117" customHeight="1">
      <c r="B21" s="5" t="s">
        <v>151</v>
      </c>
      <c r="C21" s="54" t="s">
        <v>17</v>
      </c>
      <c r="D21" s="19" t="s">
        <v>139</v>
      </c>
      <c r="E21" s="4" t="s">
        <v>34</v>
      </c>
      <c r="F21" s="41" t="s">
        <v>99</v>
      </c>
      <c r="G21" s="154" t="s">
        <v>22</v>
      </c>
      <c r="H21" s="154" t="s">
        <v>22</v>
      </c>
      <c r="I21" s="32" t="s">
        <v>35</v>
      </c>
      <c r="J21" s="42" t="s">
        <v>102</v>
      </c>
    </row>
    <row r="22" spans="2:10" ht="105">
      <c r="B22" s="5" t="s">
        <v>151</v>
      </c>
      <c r="C22" s="54" t="s">
        <v>17</v>
      </c>
      <c r="D22" s="18" t="s">
        <v>456</v>
      </c>
      <c r="E22" s="5" t="s">
        <v>36</v>
      </c>
      <c r="F22" s="43" t="s">
        <v>103</v>
      </c>
      <c r="G22" s="154" t="s">
        <v>22</v>
      </c>
      <c r="H22" s="154" t="s">
        <v>22</v>
      </c>
      <c r="I22" s="32" t="s">
        <v>37</v>
      </c>
      <c r="J22" s="37"/>
    </row>
    <row r="23" spans="2:10" ht="20" customHeight="1">
      <c r="B23" s="5" t="s">
        <v>151</v>
      </c>
      <c r="C23" s="54" t="s">
        <v>17</v>
      </c>
      <c r="D23" s="19" t="s">
        <v>38</v>
      </c>
      <c r="E23" s="4" t="s">
        <v>38</v>
      </c>
      <c r="F23" s="14" t="s">
        <v>104</v>
      </c>
      <c r="G23" s="154" t="s">
        <v>22</v>
      </c>
      <c r="H23" s="154" t="s">
        <v>22</v>
      </c>
      <c r="I23" s="35" t="s">
        <v>39</v>
      </c>
      <c r="J23" s="37"/>
    </row>
    <row r="24" spans="2:10" ht="46">
      <c r="B24" s="5" t="s">
        <v>41</v>
      </c>
      <c r="C24" s="54" t="s">
        <v>17</v>
      </c>
      <c r="D24" s="20" t="s">
        <v>140</v>
      </c>
      <c r="E24" s="13" t="s">
        <v>107</v>
      </c>
      <c r="F24" s="14" t="s">
        <v>130</v>
      </c>
      <c r="G24" s="152" t="s">
        <v>17</v>
      </c>
      <c r="H24" s="154" t="s">
        <v>22</v>
      </c>
      <c r="I24" s="32" t="s">
        <v>42</v>
      </c>
      <c r="J24" s="37"/>
    </row>
    <row r="25" spans="2:10" ht="210">
      <c r="B25" s="5" t="s">
        <v>41</v>
      </c>
      <c r="C25" s="54" t="s">
        <v>17</v>
      </c>
      <c r="D25" s="20" t="s">
        <v>141</v>
      </c>
      <c r="E25" s="13" t="s">
        <v>106</v>
      </c>
      <c r="F25" s="15" t="s">
        <v>127</v>
      </c>
      <c r="G25" s="152" t="s">
        <v>17</v>
      </c>
      <c r="H25" s="154" t="s">
        <v>22</v>
      </c>
      <c r="I25" s="32" t="s">
        <v>43</v>
      </c>
      <c r="J25" s="37"/>
    </row>
    <row r="26" spans="2:10" s="53" customFormat="1" ht="42">
      <c r="B26" s="47" t="s">
        <v>375</v>
      </c>
      <c r="C26" s="55" t="s">
        <v>17</v>
      </c>
      <c r="D26" s="48" t="s">
        <v>142</v>
      </c>
      <c r="E26" s="49" t="s">
        <v>44</v>
      </c>
      <c r="F26" s="50" t="s">
        <v>129</v>
      </c>
      <c r="G26" s="152" t="s">
        <v>17</v>
      </c>
      <c r="H26" s="154" t="s">
        <v>22</v>
      </c>
      <c r="I26" s="51" t="s">
        <v>45</v>
      </c>
      <c r="J26" s="52"/>
    </row>
    <row r="27" spans="2:10" s="53" customFormat="1" ht="42">
      <c r="B27" s="47" t="s">
        <v>41</v>
      </c>
      <c r="C27" s="55" t="s">
        <v>17</v>
      </c>
      <c r="D27" s="48" t="s">
        <v>143</v>
      </c>
      <c r="E27" s="49" t="s">
        <v>46</v>
      </c>
      <c r="F27" s="50" t="s">
        <v>128</v>
      </c>
      <c r="G27" s="152" t="s">
        <v>17</v>
      </c>
      <c r="H27" s="154" t="s">
        <v>22</v>
      </c>
      <c r="I27" s="51" t="s">
        <v>47</v>
      </c>
      <c r="J27" s="52"/>
    </row>
    <row r="28" spans="2:10" ht="46">
      <c r="B28" s="5" t="s">
        <v>41</v>
      </c>
      <c r="C28" s="54" t="s">
        <v>17</v>
      </c>
      <c r="D28" s="168" t="s">
        <v>105</v>
      </c>
      <c r="E28" s="13" t="s">
        <v>108</v>
      </c>
      <c r="F28" s="14" t="s">
        <v>113</v>
      </c>
      <c r="G28" s="154" t="s">
        <v>22</v>
      </c>
      <c r="H28" s="154" t="s">
        <v>22</v>
      </c>
      <c r="I28" s="32" t="s">
        <v>50</v>
      </c>
      <c r="J28" s="37"/>
    </row>
    <row r="29" spans="2:10" ht="42">
      <c r="B29" s="5" t="s">
        <v>41</v>
      </c>
      <c r="C29" s="54" t="s">
        <v>17</v>
      </c>
      <c r="D29" s="19" t="s">
        <v>144</v>
      </c>
      <c r="E29" s="4" t="s">
        <v>51</v>
      </c>
      <c r="F29" s="14" t="s">
        <v>113</v>
      </c>
      <c r="G29" s="152" t="s">
        <v>17</v>
      </c>
      <c r="H29" s="154" t="s">
        <v>22</v>
      </c>
      <c r="I29" s="32" t="s">
        <v>50</v>
      </c>
      <c r="J29" s="37"/>
    </row>
    <row r="30" spans="2:10" ht="84">
      <c r="B30" s="5" t="s">
        <v>41</v>
      </c>
      <c r="C30" s="54" t="s">
        <v>17</v>
      </c>
      <c r="D30" s="19" t="s">
        <v>145</v>
      </c>
      <c r="E30" s="13" t="s">
        <v>52</v>
      </c>
      <c r="F30" s="14" t="s">
        <v>114</v>
      </c>
      <c r="G30" s="152" t="s">
        <v>17</v>
      </c>
      <c r="H30" s="154" t="s">
        <v>22</v>
      </c>
      <c r="I30" s="32" t="s">
        <v>53</v>
      </c>
      <c r="J30" s="37"/>
    </row>
    <row r="31" spans="2:10" s="10" customFormat="1">
      <c r="B31" s="8" t="s">
        <v>151</v>
      </c>
      <c r="C31" s="56" t="s">
        <v>22</v>
      </c>
      <c r="D31" s="21" t="s">
        <v>40</v>
      </c>
      <c r="E31" s="6" t="s">
        <v>125</v>
      </c>
      <c r="F31" s="16" t="s">
        <v>126</v>
      </c>
      <c r="G31" s="153" t="s">
        <v>455</v>
      </c>
      <c r="H31" s="153" t="s">
        <v>455</v>
      </c>
      <c r="I31" s="46" t="s">
        <v>120</v>
      </c>
      <c r="J31" s="38"/>
    </row>
    <row r="32" spans="2:10" s="10" customFormat="1" ht="48">
      <c r="B32" s="8" t="s">
        <v>16</v>
      </c>
      <c r="C32" s="56" t="s">
        <v>22</v>
      </c>
      <c r="D32" s="22" t="s">
        <v>459</v>
      </c>
      <c r="E32" s="8" t="s">
        <v>28</v>
      </c>
      <c r="F32" s="8" t="s">
        <v>122</v>
      </c>
      <c r="G32" s="153" t="s">
        <v>444</v>
      </c>
      <c r="H32" s="153" t="s">
        <v>444</v>
      </c>
      <c r="I32" s="33" t="s">
        <v>29</v>
      </c>
      <c r="J32" s="38"/>
    </row>
    <row r="33" spans="2:10" s="10" customFormat="1" ht="72">
      <c r="B33" s="8" t="s">
        <v>16</v>
      </c>
      <c r="C33" s="56" t="s">
        <v>22</v>
      </c>
      <c r="D33" s="22" t="s">
        <v>460</v>
      </c>
      <c r="E33" s="7" t="s">
        <v>24</v>
      </c>
      <c r="F33" s="7" t="s">
        <v>121</v>
      </c>
      <c r="G33" s="153" t="s">
        <v>444</v>
      </c>
      <c r="H33" s="153" t="s">
        <v>444</v>
      </c>
      <c r="I33" s="33" t="s">
        <v>25</v>
      </c>
      <c r="J33" s="38"/>
    </row>
    <row r="34" spans="2:10" s="10" customFormat="1" ht="126">
      <c r="B34" s="8" t="s">
        <v>16</v>
      </c>
      <c r="C34" s="56" t="s">
        <v>22</v>
      </c>
      <c r="D34" s="23" t="s">
        <v>461</v>
      </c>
      <c r="E34" s="8" t="s">
        <v>30</v>
      </c>
      <c r="F34" s="8" t="s">
        <v>123</v>
      </c>
      <c r="G34" s="153" t="s">
        <v>455</v>
      </c>
      <c r="H34" s="153" t="s">
        <v>455</v>
      </c>
      <c r="I34" s="33" t="s">
        <v>31</v>
      </c>
      <c r="J34" s="38"/>
    </row>
    <row r="35" spans="2:10" s="10" customFormat="1" ht="189">
      <c r="B35" s="8" t="s">
        <v>16</v>
      </c>
      <c r="C35" s="56" t="s">
        <v>22</v>
      </c>
      <c r="D35" s="21" t="s">
        <v>146</v>
      </c>
      <c r="E35" s="6" t="s">
        <v>26</v>
      </c>
      <c r="F35" s="7" t="s">
        <v>124</v>
      </c>
      <c r="G35" s="153" t="s">
        <v>444</v>
      </c>
      <c r="H35" s="153" t="s">
        <v>444</v>
      </c>
      <c r="I35" s="33" t="s">
        <v>27</v>
      </c>
      <c r="J35" s="38"/>
    </row>
    <row r="36" spans="2:10" s="10" customFormat="1" ht="63">
      <c r="B36" s="8" t="s">
        <v>16</v>
      </c>
      <c r="C36" s="56" t="s">
        <v>22</v>
      </c>
      <c r="D36" s="21" t="s">
        <v>147</v>
      </c>
      <c r="E36" s="6" t="s">
        <v>23</v>
      </c>
      <c r="F36" s="7" t="s">
        <v>81</v>
      </c>
      <c r="G36" s="153" t="s">
        <v>444</v>
      </c>
      <c r="H36" s="153" t="s">
        <v>455</v>
      </c>
      <c r="I36" s="33" t="s">
        <v>84</v>
      </c>
      <c r="J36" s="38"/>
    </row>
    <row r="37" spans="2:10" s="10" customFormat="1" ht="42">
      <c r="B37" s="8" t="s">
        <v>41</v>
      </c>
      <c r="C37" s="56" t="s">
        <v>22</v>
      </c>
      <c r="D37" s="21" t="s">
        <v>48</v>
      </c>
      <c r="E37" s="6" t="s">
        <v>48</v>
      </c>
      <c r="F37" s="16" t="s">
        <v>131</v>
      </c>
      <c r="G37" s="153" t="s">
        <v>455</v>
      </c>
      <c r="H37" s="153" t="s">
        <v>455</v>
      </c>
      <c r="I37" s="33" t="s">
        <v>49</v>
      </c>
      <c r="J37" s="38"/>
    </row>
    <row r="38" spans="2:10" s="10" customFormat="1" ht="42">
      <c r="B38" s="8" t="s">
        <v>41</v>
      </c>
      <c r="C38" s="56" t="s">
        <v>22</v>
      </c>
      <c r="D38" s="21" t="s">
        <v>54</v>
      </c>
      <c r="E38" s="44" t="s">
        <v>54</v>
      </c>
      <c r="F38" s="16" t="s">
        <v>112</v>
      </c>
      <c r="G38" s="153" t="s">
        <v>455</v>
      </c>
      <c r="H38" s="153" t="s">
        <v>455</v>
      </c>
      <c r="I38" s="33" t="s">
        <v>55</v>
      </c>
      <c r="J38" s="38"/>
    </row>
    <row r="39" spans="2:10" s="10" customFormat="1" ht="63">
      <c r="B39" s="8" t="s">
        <v>41</v>
      </c>
      <c r="C39" s="56" t="s">
        <v>22</v>
      </c>
      <c r="D39" s="21" t="s">
        <v>111</v>
      </c>
      <c r="E39" s="44" t="s">
        <v>56</v>
      </c>
      <c r="F39" s="16" t="s">
        <v>115</v>
      </c>
      <c r="G39" s="153" t="s">
        <v>455</v>
      </c>
      <c r="H39" s="153" t="s">
        <v>455</v>
      </c>
      <c r="I39" s="33" t="s">
        <v>57</v>
      </c>
      <c r="J39" s="38"/>
    </row>
    <row r="40" spans="2:10" s="10" customFormat="1" ht="63">
      <c r="B40" s="8" t="s">
        <v>41</v>
      </c>
      <c r="C40" s="56" t="s">
        <v>22</v>
      </c>
      <c r="D40" s="21" t="s">
        <v>58</v>
      </c>
      <c r="E40" s="44" t="s">
        <v>58</v>
      </c>
      <c r="F40" s="45" t="s">
        <v>117</v>
      </c>
      <c r="G40" s="153" t="s">
        <v>455</v>
      </c>
      <c r="H40" s="153" t="s">
        <v>455</v>
      </c>
      <c r="I40" s="33" t="s">
        <v>59</v>
      </c>
      <c r="J40" s="38"/>
    </row>
    <row r="41" spans="2:10" s="10" customFormat="1" ht="84">
      <c r="B41" s="8" t="s">
        <v>41</v>
      </c>
      <c r="C41" s="56" t="s">
        <v>22</v>
      </c>
      <c r="D41" s="21" t="s">
        <v>110</v>
      </c>
      <c r="E41" s="44" t="s">
        <v>60</v>
      </c>
      <c r="F41" s="45" t="s">
        <v>116</v>
      </c>
      <c r="G41" s="153" t="s">
        <v>455</v>
      </c>
      <c r="H41" s="153" t="s">
        <v>455</v>
      </c>
      <c r="I41" s="33" t="s">
        <v>61</v>
      </c>
      <c r="J41" s="38"/>
    </row>
    <row r="42" spans="2:10" s="10" customFormat="1" ht="168">
      <c r="B42" s="8" t="s">
        <v>41</v>
      </c>
      <c r="C42" s="56" t="s">
        <v>22</v>
      </c>
      <c r="D42" s="21" t="s">
        <v>148</v>
      </c>
      <c r="E42" s="44" t="s">
        <v>62</v>
      </c>
      <c r="F42" s="45" t="s">
        <v>118</v>
      </c>
      <c r="G42" s="153" t="s">
        <v>455</v>
      </c>
      <c r="H42" s="153" t="s">
        <v>455</v>
      </c>
      <c r="I42" s="33" t="s">
        <v>63</v>
      </c>
      <c r="J42" s="38"/>
    </row>
    <row r="43" spans="2:10" s="10" customFormat="1" ht="126">
      <c r="B43" s="8" t="s">
        <v>41</v>
      </c>
      <c r="C43" s="56" t="s">
        <v>22</v>
      </c>
      <c r="D43" s="21" t="s">
        <v>109</v>
      </c>
      <c r="E43" s="44" t="s">
        <v>64</v>
      </c>
      <c r="F43" s="45" t="s">
        <v>119</v>
      </c>
      <c r="G43" s="153" t="s">
        <v>455</v>
      </c>
      <c r="H43" s="153" t="s">
        <v>455</v>
      </c>
      <c r="I43" s="33" t="s">
        <v>65</v>
      </c>
      <c r="J43" s="38"/>
    </row>
  </sheetData>
  <autoFilter ref="A8:J43" xr:uid="{AA6EECB2-F5E2-6C4D-A5EF-B4EE3A5B8E40}"/>
  <mergeCells count="1">
    <mergeCell ref="B4:F6"/>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BEFDF-7410-714D-BD4A-AF789A1FA829}">
  <sheetPr codeName="Sheet5"/>
  <dimension ref="A1:E47"/>
  <sheetViews>
    <sheetView workbookViewId="0">
      <selection activeCell="D21" sqref="D21"/>
    </sheetView>
  </sheetViews>
  <sheetFormatPr baseColWidth="10" defaultRowHeight="20"/>
  <cols>
    <col min="1" max="1" width="6.42578125" customWidth="1"/>
    <col min="3" max="3" width="31.5703125" bestFit="1" customWidth="1"/>
    <col min="4" max="4" width="20.5703125" bestFit="1" customWidth="1"/>
  </cols>
  <sheetData>
    <row r="1" spans="1:5">
      <c r="A1" t="s">
        <v>181</v>
      </c>
    </row>
    <row r="2" spans="1:5">
      <c r="A2" t="s">
        <v>182</v>
      </c>
    </row>
    <row r="3" spans="1:5">
      <c r="B3" t="s">
        <v>308</v>
      </c>
      <c r="C3" t="s">
        <v>184</v>
      </c>
      <c r="D3" t="s">
        <v>185</v>
      </c>
      <c r="E3" t="s">
        <v>186</v>
      </c>
    </row>
    <row r="4" spans="1:5">
      <c r="A4" t="s">
        <v>182</v>
      </c>
    </row>
    <row r="5" spans="1:5">
      <c r="B5" t="s">
        <v>187</v>
      </c>
      <c r="C5" t="s">
        <v>188</v>
      </c>
      <c r="D5" t="s">
        <v>189</v>
      </c>
      <c r="E5">
        <v>1</v>
      </c>
    </row>
    <row r="6" spans="1:5">
      <c r="B6" t="s">
        <v>190</v>
      </c>
      <c r="C6" t="s">
        <v>191</v>
      </c>
      <c r="D6" t="s">
        <v>192</v>
      </c>
      <c r="E6">
        <v>1</v>
      </c>
    </row>
    <row r="7" spans="1:5">
      <c r="B7" t="s">
        <v>193</v>
      </c>
      <c r="C7" t="s">
        <v>194</v>
      </c>
      <c r="D7" t="s">
        <v>195</v>
      </c>
      <c r="E7">
        <v>2</v>
      </c>
    </row>
    <row r="8" spans="1:5">
      <c r="B8" t="s">
        <v>196</v>
      </c>
      <c r="C8" t="s">
        <v>197</v>
      </c>
      <c r="D8" t="s">
        <v>198</v>
      </c>
      <c r="E8">
        <v>1</v>
      </c>
    </row>
    <row r="9" spans="1:5">
      <c r="B9" t="s">
        <v>199</v>
      </c>
      <c r="C9" t="s">
        <v>200</v>
      </c>
      <c r="D9" t="s">
        <v>201</v>
      </c>
      <c r="E9">
        <v>1</v>
      </c>
    </row>
    <row r="10" spans="1:5">
      <c r="B10" t="s">
        <v>202</v>
      </c>
      <c r="C10" t="s">
        <v>203</v>
      </c>
      <c r="D10" t="s">
        <v>204</v>
      </c>
      <c r="E10">
        <v>1</v>
      </c>
    </row>
    <row r="11" spans="1:5">
      <c r="B11" t="s">
        <v>205</v>
      </c>
      <c r="C11" t="s">
        <v>206</v>
      </c>
      <c r="D11" t="s">
        <v>207</v>
      </c>
      <c r="E11">
        <v>1</v>
      </c>
    </row>
    <row r="12" spans="1:5">
      <c r="B12" t="s">
        <v>208</v>
      </c>
      <c r="C12" t="s">
        <v>209</v>
      </c>
      <c r="D12" t="s">
        <v>210</v>
      </c>
      <c r="E12">
        <v>1</v>
      </c>
    </row>
    <row r="13" spans="1:5">
      <c r="B13" t="s">
        <v>211</v>
      </c>
      <c r="C13" t="s">
        <v>212</v>
      </c>
      <c r="D13" t="s">
        <v>213</v>
      </c>
      <c r="E13">
        <v>1</v>
      </c>
    </row>
    <row r="14" spans="1:5">
      <c r="B14" t="s">
        <v>214</v>
      </c>
      <c r="C14" t="s">
        <v>215</v>
      </c>
      <c r="D14" t="s">
        <v>216</v>
      </c>
      <c r="E14">
        <v>1</v>
      </c>
    </row>
    <row r="15" spans="1:5">
      <c r="B15" t="s">
        <v>217</v>
      </c>
      <c r="C15" t="s">
        <v>218</v>
      </c>
      <c r="D15" t="s">
        <v>219</v>
      </c>
      <c r="E15">
        <v>1</v>
      </c>
    </row>
    <row r="16" spans="1:5">
      <c r="B16" t="s">
        <v>220</v>
      </c>
      <c r="C16" t="s">
        <v>221</v>
      </c>
      <c r="D16" t="s">
        <v>222</v>
      </c>
      <c r="E16">
        <v>2</v>
      </c>
    </row>
    <row r="17" spans="2:5">
      <c r="B17" t="s">
        <v>309</v>
      </c>
      <c r="C17" t="s">
        <v>223</v>
      </c>
      <c r="D17" t="s">
        <v>224</v>
      </c>
      <c r="E17">
        <v>1</v>
      </c>
    </row>
    <row r="18" spans="2:5">
      <c r="B18" t="s">
        <v>225</v>
      </c>
      <c r="C18" t="s">
        <v>226</v>
      </c>
      <c r="D18" t="s">
        <v>227</v>
      </c>
      <c r="E18">
        <v>3</v>
      </c>
    </row>
    <row r="19" spans="2:5">
      <c r="B19" t="s">
        <v>228</v>
      </c>
      <c r="C19" t="s">
        <v>229</v>
      </c>
      <c r="D19" t="s">
        <v>230</v>
      </c>
      <c r="E19">
        <v>2</v>
      </c>
    </row>
    <row r="20" spans="2:5">
      <c r="B20" t="s">
        <v>231</v>
      </c>
      <c r="C20" t="s">
        <v>232</v>
      </c>
      <c r="D20" t="s">
        <v>233</v>
      </c>
      <c r="E20">
        <v>4</v>
      </c>
    </row>
    <row r="21" spans="2:5">
      <c r="B21" t="s">
        <v>234</v>
      </c>
      <c r="C21" t="s">
        <v>235</v>
      </c>
      <c r="D21" t="s">
        <v>236</v>
      </c>
      <c r="E21">
        <v>2</v>
      </c>
    </row>
    <row r="22" spans="2:5">
      <c r="B22" t="s">
        <v>237</v>
      </c>
      <c r="C22" t="s">
        <v>238</v>
      </c>
      <c r="D22" t="s">
        <v>239</v>
      </c>
      <c r="E22">
        <v>2</v>
      </c>
    </row>
    <row r="23" spans="2:5">
      <c r="B23" t="s">
        <v>240</v>
      </c>
      <c r="C23" t="s">
        <v>241</v>
      </c>
      <c r="D23" t="s">
        <v>242</v>
      </c>
      <c r="E23">
        <v>1</v>
      </c>
    </row>
    <row r="24" spans="2:5">
      <c r="B24" t="s">
        <v>243</v>
      </c>
      <c r="C24" t="s">
        <v>244</v>
      </c>
      <c r="D24" t="s">
        <v>245</v>
      </c>
      <c r="E24">
        <v>1</v>
      </c>
    </row>
    <row r="25" spans="2:5">
      <c r="B25" t="s">
        <v>246</v>
      </c>
      <c r="C25" t="s">
        <v>247</v>
      </c>
      <c r="D25" t="s">
        <v>248</v>
      </c>
      <c r="E25">
        <v>1</v>
      </c>
    </row>
    <row r="26" spans="2:5">
      <c r="B26" t="s">
        <v>249</v>
      </c>
      <c r="C26" t="s">
        <v>250</v>
      </c>
      <c r="D26" t="s">
        <v>251</v>
      </c>
      <c r="E26">
        <v>1</v>
      </c>
    </row>
    <row r="27" spans="2:5">
      <c r="B27" t="s">
        <v>252</v>
      </c>
      <c r="C27" t="s">
        <v>253</v>
      </c>
      <c r="D27" t="s">
        <v>254</v>
      </c>
      <c r="E27">
        <v>1</v>
      </c>
    </row>
    <row r="28" spans="2:5">
      <c r="B28" t="s">
        <v>255</v>
      </c>
      <c r="C28" t="s">
        <v>256</v>
      </c>
      <c r="D28" t="s">
        <v>257</v>
      </c>
      <c r="E28">
        <v>1</v>
      </c>
    </row>
    <row r="29" spans="2:5">
      <c r="B29" t="s">
        <v>258</v>
      </c>
      <c r="C29" t="s">
        <v>259</v>
      </c>
      <c r="D29" t="s">
        <v>260</v>
      </c>
      <c r="E29">
        <v>1</v>
      </c>
    </row>
    <row r="30" spans="2:5">
      <c r="B30" t="s">
        <v>261</v>
      </c>
      <c r="C30" t="s">
        <v>262</v>
      </c>
      <c r="D30" t="s">
        <v>263</v>
      </c>
      <c r="E30">
        <v>1</v>
      </c>
    </row>
    <row r="31" spans="2:5">
      <c r="B31" t="s">
        <v>264</v>
      </c>
      <c r="C31" t="s">
        <v>265</v>
      </c>
      <c r="D31" t="s">
        <v>266</v>
      </c>
      <c r="E31">
        <v>1</v>
      </c>
    </row>
    <row r="32" spans="2:5">
      <c r="B32" t="s">
        <v>267</v>
      </c>
      <c r="C32" t="s">
        <v>268</v>
      </c>
      <c r="D32" t="s">
        <v>269</v>
      </c>
      <c r="E32">
        <v>1</v>
      </c>
    </row>
    <row r="33" spans="1:5">
      <c r="B33" t="s">
        <v>270</v>
      </c>
      <c r="C33" t="s">
        <v>271</v>
      </c>
      <c r="D33" t="s">
        <v>272</v>
      </c>
      <c r="E33">
        <v>1</v>
      </c>
    </row>
    <row r="34" spans="1:5">
      <c r="B34" t="s">
        <v>273</v>
      </c>
      <c r="C34" t="s">
        <v>274</v>
      </c>
      <c r="D34" t="s">
        <v>275</v>
      </c>
      <c r="E34">
        <v>1</v>
      </c>
    </row>
    <row r="35" spans="1:5">
      <c r="B35" t="s">
        <v>276</v>
      </c>
      <c r="C35" t="s">
        <v>277</v>
      </c>
      <c r="D35" t="s">
        <v>278</v>
      </c>
      <c r="E35">
        <v>1</v>
      </c>
    </row>
    <row r="36" spans="1:5">
      <c r="B36" t="s">
        <v>279</v>
      </c>
      <c r="C36" t="s">
        <v>280</v>
      </c>
      <c r="D36" t="s">
        <v>281</v>
      </c>
      <c r="E36">
        <v>2</v>
      </c>
    </row>
    <row r="37" spans="1:5">
      <c r="B37" t="s">
        <v>282</v>
      </c>
      <c r="C37" t="s">
        <v>283</v>
      </c>
      <c r="D37" t="s">
        <v>284</v>
      </c>
      <c r="E37">
        <v>1</v>
      </c>
    </row>
    <row r="38" spans="1:5">
      <c r="B38" t="s">
        <v>285</v>
      </c>
      <c r="C38" t="s">
        <v>286</v>
      </c>
      <c r="D38" t="s">
        <v>287</v>
      </c>
      <c r="E38">
        <v>1</v>
      </c>
    </row>
    <row r="39" spans="1:5">
      <c r="B39" t="s">
        <v>288</v>
      </c>
      <c r="C39" t="s">
        <v>289</v>
      </c>
      <c r="D39" t="s">
        <v>290</v>
      </c>
      <c r="E39">
        <v>2</v>
      </c>
    </row>
    <row r="40" spans="1:5">
      <c r="B40" t="s">
        <v>291</v>
      </c>
      <c r="C40" t="s">
        <v>292</v>
      </c>
      <c r="D40" t="s">
        <v>293</v>
      </c>
      <c r="E40">
        <v>3</v>
      </c>
    </row>
    <row r="41" spans="1:5">
      <c r="B41" t="s">
        <v>294</v>
      </c>
      <c r="C41" t="s">
        <v>295</v>
      </c>
      <c r="D41" t="s">
        <v>296</v>
      </c>
      <c r="E41">
        <v>4</v>
      </c>
    </row>
    <row r="42" spans="1:5">
      <c r="B42" t="s">
        <v>297</v>
      </c>
      <c r="C42" t="s">
        <v>298</v>
      </c>
      <c r="D42" t="s">
        <v>299</v>
      </c>
      <c r="E42">
        <v>4</v>
      </c>
    </row>
    <row r="43" spans="1:5">
      <c r="B43" t="s">
        <v>300</v>
      </c>
      <c r="C43" t="s">
        <v>301</v>
      </c>
      <c r="D43" t="s">
        <v>302</v>
      </c>
      <c r="E43">
        <v>4</v>
      </c>
    </row>
    <row r="44" spans="1:5">
      <c r="B44" t="s">
        <v>303</v>
      </c>
      <c r="C44" t="s">
        <v>304</v>
      </c>
      <c r="D44" t="s">
        <v>305</v>
      </c>
      <c r="E44">
        <v>3</v>
      </c>
    </row>
    <row r="45" spans="1:5">
      <c r="B45" t="s">
        <v>306</v>
      </c>
      <c r="C45" t="s">
        <v>304</v>
      </c>
      <c r="D45" t="s">
        <v>307</v>
      </c>
      <c r="E45">
        <v>4</v>
      </c>
    </row>
    <row r="46" spans="1:5">
      <c r="A46" t="s">
        <v>182</v>
      </c>
    </row>
    <row r="47" spans="1:5">
      <c r="A47" t="s">
        <v>183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6AF84-C4E8-8C41-86B0-ABC711BC0D77}">
  <sheetPr codeName="Sheet6"/>
  <dimension ref="A1:K50"/>
  <sheetViews>
    <sheetView topLeftCell="A2" workbookViewId="0">
      <selection activeCell="C29" sqref="C29"/>
    </sheetView>
  </sheetViews>
  <sheetFormatPr baseColWidth="10" defaultRowHeight="18"/>
  <cols>
    <col min="1" max="1" width="14" style="2" customWidth="1"/>
    <col min="2" max="2" width="4.42578125" style="2" customWidth="1"/>
    <col min="3" max="3" width="32" style="2" customWidth="1"/>
    <col min="4" max="4" width="21.140625" style="2" bestFit="1" customWidth="1"/>
    <col min="5" max="5" width="17.7109375" style="2" bestFit="1" customWidth="1"/>
    <col min="6" max="6" width="4.42578125" style="2" customWidth="1"/>
    <col min="7" max="7" width="10.7109375" style="2" customWidth="1"/>
    <col min="8" max="8" width="3.140625" style="2" customWidth="1"/>
    <col min="9" max="9" width="6" style="2" customWidth="1"/>
    <col min="10" max="10" width="15.7109375" style="67" customWidth="1"/>
    <col min="11" max="16384" width="10.7109375" style="2"/>
  </cols>
  <sheetData>
    <row r="1" spans="1:11" ht="27">
      <c r="A1" s="1" t="s">
        <v>176</v>
      </c>
    </row>
    <row r="2" spans="1:11" ht="20">
      <c r="A2" s="81" t="s">
        <v>175</v>
      </c>
    </row>
    <row r="3" spans="1:11">
      <c r="A3" s="181" t="s">
        <v>177</v>
      </c>
      <c r="B3" s="181"/>
      <c r="C3" s="181"/>
      <c r="D3" s="181"/>
      <c r="E3" s="181"/>
      <c r="F3" s="181"/>
      <c r="G3" s="181"/>
      <c r="H3" s="181"/>
      <c r="I3" s="181"/>
      <c r="J3" s="181"/>
      <c r="K3" s="181"/>
    </row>
    <row r="4" spans="1:11">
      <c r="A4" s="181"/>
      <c r="B4" s="181"/>
      <c r="C4" s="181"/>
      <c r="D4" s="181"/>
      <c r="E4" s="181"/>
      <c r="F4" s="181"/>
      <c r="G4" s="181"/>
      <c r="H4" s="181"/>
      <c r="I4" s="181"/>
      <c r="J4" s="181"/>
      <c r="K4" s="181"/>
    </row>
    <row r="5" spans="1:11">
      <c r="A5" s="181"/>
      <c r="B5" s="181"/>
      <c r="C5" s="181"/>
      <c r="D5" s="181"/>
      <c r="E5" s="181"/>
      <c r="F5" s="181"/>
      <c r="G5" s="181"/>
      <c r="H5" s="181"/>
      <c r="I5" s="181"/>
      <c r="J5" s="181"/>
      <c r="K5" s="181"/>
    </row>
    <row r="6" spans="1:11">
      <c r="A6" s="181"/>
      <c r="B6" s="181"/>
      <c r="C6" s="181"/>
      <c r="D6" s="181"/>
      <c r="E6" s="181"/>
      <c r="F6" s="181"/>
      <c r="G6" s="181"/>
      <c r="H6" s="181"/>
      <c r="I6" s="181"/>
      <c r="J6" s="181"/>
      <c r="K6" s="181"/>
    </row>
    <row r="9" spans="1:11" ht="23" customHeight="1">
      <c r="A9" s="59" t="s">
        <v>153</v>
      </c>
      <c r="C9" s="60" t="s">
        <v>16</v>
      </c>
      <c r="D9" s="60" t="s">
        <v>151</v>
      </c>
      <c r="E9" s="70" t="s">
        <v>41</v>
      </c>
      <c r="G9" s="60" t="s">
        <v>157</v>
      </c>
      <c r="J9" s="79" t="s">
        <v>159</v>
      </c>
    </row>
    <row r="10" spans="1:11" ht="21">
      <c r="A10" s="61" t="s">
        <v>16</v>
      </c>
      <c r="C10" s="62" t="s">
        <v>467</v>
      </c>
      <c r="D10" s="69" t="s">
        <v>32</v>
      </c>
      <c r="E10" s="72" t="s">
        <v>472</v>
      </c>
      <c r="G10" s="75" t="s">
        <v>158</v>
      </c>
      <c r="H10" s="2" t="s">
        <v>180</v>
      </c>
      <c r="J10" s="78" t="s">
        <v>310</v>
      </c>
    </row>
    <row r="11" spans="1:11" ht="21">
      <c r="A11" s="61" t="s">
        <v>151</v>
      </c>
      <c r="C11" s="62" t="s">
        <v>475</v>
      </c>
      <c r="D11" s="69" t="s">
        <v>464</v>
      </c>
      <c r="E11" s="72" t="s">
        <v>154</v>
      </c>
      <c r="G11" s="74" t="s">
        <v>178</v>
      </c>
      <c r="J11" s="78" t="s">
        <v>311</v>
      </c>
    </row>
    <row r="12" spans="1:11" ht="20">
      <c r="A12" s="61" t="s">
        <v>41</v>
      </c>
      <c r="C12" s="62" t="s">
        <v>19</v>
      </c>
      <c r="D12" s="69" t="s">
        <v>465</v>
      </c>
      <c r="E12" s="73" t="s">
        <v>155</v>
      </c>
      <c r="G12" s="74" t="s">
        <v>179</v>
      </c>
      <c r="J12" s="78" t="s">
        <v>312</v>
      </c>
    </row>
    <row r="13" spans="1:11" ht="20">
      <c r="C13" s="62" t="s">
        <v>476</v>
      </c>
      <c r="D13" s="64" t="s">
        <v>466</v>
      </c>
      <c r="E13" s="71" t="s">
        <v>156</v>
      </c>
      <c r="G13" s="77"/>
      <c r="J13" s="78" t="s">
        <v>313</v>
      </c>
    </row>
    <row r="14" spans="1:11" ht="21">
      <c r="A14" s="59" t="s">
        <v>174</v>
      </c>
      <c r="C14" s="62" t="s">
        <v>477</v>
      </c>
      <c r="D14" s="62" t="s">
        <v>471</v>
      </c>
      <c r="E14" s="63" t="s">
        <v>105</v>
      </c>
      <c r="J14" s="78" t="s">
        <v>314</v>
      </c>
    </row>
    <row r="15" spans="1:11" ht="20">
      <c r="A15" s="68" t="s">
        <v>172</v>
      </c>
      <c r="C15" s="64" t="s">
        <v>478</v>
      </c>
      <c r="E15" s="62" t="s">
        <v>473</v>
      </c>
      <c r="J15" s="78" t="s">
        <v>315</v>
      </c>
    </row>
    <row r="16" spans="1:11" ht="20">
      <c r="A16" s="68">
        <v>5.5</v>
      </c>
      <c r="C16" s="62" t="s">
        <v>479</v>
      </c>
      <c r="E16" s="62" t="s">
        <v>474</v>
      </c>
      <c r="J16" s="78" t="s">
        <v>316</v>
      </c>
    </row>
    <row r="17" spans="1:10" ht="20">
      <c r="A17" s="68">
        <v>5.6</v>
      </c>
      <c r="C17" s="64" t="s">
        <v>85</v>
      </c>
      <c r="J17" s="78" t="s">
        <v>317</v>
      </c>
    </row>
    <row r="18" spans="1:10" ht="20">
      <c r="A18" s="68">
        <v>5.7</v>
      </c>
      <c r="C18" s="64" t="s">
        <v>482</v>
      </c>
      <c r="J18" s="78" t="s">
        <v>318</v>
      </c>
    </row>
    <row r="19" spans="1:10" ht="20">
      <c r="A19" s="68" t="s">
        <v>171</v>
      </c>
      <c r="C19" s="64" t="s">
        <v>480</v>
      </c>
      <c r="J19" s="78" t="s">
        <v>319</v>
      </c>
    </row>
    <row r="20" spans="1:10" ht="20">
      <c r="A20" s="68" t="s">
        <v>173</v>
      </c>
      <c r="J20" s="78" t="s">
        <v>320</v>
      </c>
    </row>
    <row r="21" spans="1:10" ht="20">
      <c r="J21" s="78" t="s">
        <v>321</v>
      </c>
    </row>
    <row r="22" spans="1:10" ht="20">
      <c r="J22" s="78" t="s">
        <v>350</v>
      </c>
    </row>
    <row r="23" spans="1:10" ht="20">
      <c r="J23" s="78" t="s">
        <v>322</v>
      </c>
    </row>
    <row r="24" spans="1:10" ht="20">
      <c r="J24" s="78" t="s">
        <v>323</v>
      </c>
    </row>
    <row r="25" spans="1:10" ht="20">
      <c r="J25" s="78" t="s">
        <v>324</v>
      </c>
    </row>
    <row r="26" spans="1:10" ht="20">
      <c r="J26" s="78" t="s">
        <v>325</v>
      </c>
    </row>
    <row r="27" spans="1:10" ht="20">
      <c r="J27" s="78" t="s">
        <v>326</v>
      </c>
    </row>
    <row r="28" spans="1:10" ht="20">
      <c r="J28" s="78" t="s">
        <v>327</v>
      </c>
    </row>
    <row r="29" spans="1:10" ht="20">
      <c r="J29" s="78" t="s">
        <v>328</v>
      </c>
    </row>
    <row r="30" spans="1:10" ht="20">
      <c r="J30" s="78" t="s">
        <v>329</v>
      </c>
    </row>
    <row r="31" spans="1:10" ht="20">
      <c r="J31" s="78" t="s">
        <v>330</v>
      </c>
    </row>
    <row r="32" spans="1:10" ht="20">
      <c r="J32" s="78" t="s">
        <v>331</v>
      </c>
    </row>
    <row r="33" spans="10:10" ht="20">
      <c r="J33" s="78" t="s">
        <v>332</v>
      </c>
    </row>
    <row r="34" spans="10:10" ht="20">
      <c r="J34" s="78" t="s">
        <v>333</v>
      </c>
    </row>
    <row r="35" spans="10:10" ht="20">
      <c r="J35" s="78" t="s">
        <v>334</v>
      </c>
    </row>
    <row r="36" spans="10:10" ht="20">
      <c r="J36" s="78" t="s">
        <v>335</v>
      </c>
    </row>
    <row r="37" spans="10:10" ht="20">
      <c r="J37" s="78" t="s">
        <v>336</v>
      </c>
    </row>
    <row r="38" spans="10:10" ht="20">
      <c r="J38" s="78" t="s">
        <v>337</v>
      </c>
    </row>
    <row r="39" spans="10:10" ht="20">
      <c r="J39" s="78" t="s">
        <v>338</v>
      </c>
    </row>
    <row r="40" spans="10:10" ht="20">
      <c r="J40" s="78" t="s">
        <v>339</v>
      </c>
    </row>
    <row r="41" spans="10:10" ht="20">
      <c r="J41" s="78" t="s">
        <v>340</v>
      </c>
    </row>
    <row r="42" spans="10:10" ht="20">
      <c r="J42" s="78" t="s">
        <v>341</v>
      </c>
    </row>
    <row r="43" spans="10:10" ht="20">
      <c r="J43" s="78" t="s">
        <v>342</v>
      </c>
    </row>
    <row r="44" spans="10:10" ht="20">
      <c r="J44" s="78" t="s">
        <v>343</v>
      </c>
    </row>
    <row r="45" spans="10:10" ht="20">
      <c r="J45" s="78" t="s">
        <v>344</v>
      </c>
    </row>
    <row r="46" spans="10:10" ht="20">
      <c r="J46" s="78" t="s">
        <v>345</v>
      </c>
    </row>
    <row r="47" spans="10:10" ht="20">
      <c r="J47" s="78" t="s">
        <v>346</v>
      </c>
    </row>
    <row r="48" spans="10:10" ht="20">
      <c r="J48" s="78" t="s">
        <v>347</v>
      </c>
    </row>
    <row r="49" spans="10:10" ht="20">
      <c r="J49" s="78" t="s">
        <v>348</v>
      </c>
    </row>
    <row r="50" spans="10:10" ht="20">
      <c r="J50" s="78" t="s">
        <v>349</v>
      </c>
    </row>
  </sheetData>
  <sortState xmlns:xlrd2="http://schemas.microsoft.com/office/spreadsheetml/2017/richdata2" ref="J10:J50">
    <sortCondition ref="J9"/>
  </sortState>
  <mergeCells count="1">
    <mergeCell ref="A3:K6"/>
  </mergeCells>
  <phoneticPr fontId="1"/>
  <hyperlinks>
    <hyperlink ref="G12" r:id="rId1" xr:uid="{D4141752-BD1A-FA47-9B70-D5D25017CC72}"/>
    <hyperlink ref="G11" r:id="rId2" xr:uid="{7EE0252C-C7D5-2144-9E51-A0A14CE7F555}"/>
    <hyperlink ref="G10" r:id="rId3" xr:uid="{67205EF0-CF98-F44F-AB9B-C46B2F5ABCB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41400-7E42-9B41-B492-FF8A7BAB05A9}">
  <sheetPr codeName="Sheet7"/>
  <dimension ref="A1:AC63"/>
  <sheetViews>
    <sheetView showGridLines="0" workbookViewId="0">
      <selection activeCell="K19" sqref="K19"/>
    </sheetView>
  </sheetViews>
  <sheetFormatPr baseColWidth="10" defaultColWidth="11.5703125" defaultRowHeight="18"/>
  <cols>
    <col min="1" max="1" width="1.5703125" style="2" customWidth="1"/>
    <col min="2" max="2" width="4.140625" style="2" customWidth="1"/>
    <col min="3" max="3" width="17.85546875" style="58" customWidth="1"/>
    <col min="4" max="4" width="18.42578125" style="58" bestFit="1" customWidth="1"/>
    <col min="5" max="5" width="14.5703125" style="58" customWidth="1"/>
    <col min="6" max="6" width="25.85546875" style="58" bestFit="1" customWidth="1"/>
    <col min="7" max="7" width="9.7109375" style="90" bestFit="1" customWidth="1"/>
    <col min="8" max="8" width="12" style="90" bestFit="1" customWidth="1"/>
    <col min="9" max="9" width="9.5703125" style="90" bestFit="1" customWidth="1"/>
    <col min="10" max="10" width="11" style="90" customWidth="1"/>
    <col min="11" max="11" width="8.7109375" style="90" bestFit="1" customWidth="1"/>
    <col min="12" max="12" width="10.28515625" style="90" bestFit="1" customWidth="1"/>
    <col min="13" max="13" width="9.42578125" style="90" bestFit="1" customWidth="1"/>
    <col min="14" max="16" width="6.7109375" style="90" bestFit="1" customWidth="1"/>
    <col min="17" max="17" width="7.85546875" style="90" customWidth="1"/>
    <col min="18" max="18" width="1.7109375" style="2" customWidth="1"/>
    <col min="19" max="16384" width="11.5703125" style="2"/>
  </cols>
  <sheetData>
    <row r="1" spans="1:29" ht="25">
      <c r="A1" s="148"/>
      <c r="B1" s="98" t="str">
        <f>IF(D6&lt;&gt;"",LEFT(D6,4),"") &amp;" テーブル定義書"</f>
        <v>m000 テーブル定義書</v>
      </c>
      <c r="C1" s="100"/>
      <c r="D1" s="100"/>
      <c r="E1" s="100"/>
      <c r="F1" s="100"/>
      <c r="G1" s="99"/>
      <c r="H1" s="99"/>
      <c r="I1" s="99"/>
      <c r="J1" s="99"/>
      <c r="K1" s="99"/>
      <c r="L1" s="99"/>
      <c r="M1" s="99"/>
      <c r="N1" s="99"/>
      <c r="O1" s="99"/>
      <c r="P1" s="99"/>
      <c r="Q1" s="99"/>
      <c r="R1" s="148"/>
      <c r="S1" s="98" t="s">
        <v>393</v>
      </c>
      <c r="T1" s="99"/>
      <c r="U1" s="99"/>
      <c r="V1" s="99"/>
      <c r="W1" s="99"/>
      <c r="X1" s="99"/>
      <c r="Y1" s="99"/>
    </row>
    <row r="2" spans="1:29" ht="24" customHeight="1">
      <c r="B2" s="149" t="s">
        <v>376</v>
      </c>
      <c r="C2" s="67"/>
      <c r="D2" s="67"/>
      <c r="E2" s="67"/>
      <c r="F2" s="67"/>
      <c r="H2" s="89"/>
      <c r="J2" s="97" t="s">
        <v>390</v>
      </c>
      <c r="S2" s="83" t="s">
        <v>451</v>
      </c>
    </row>
    <row r="3" spans="1:29">
      <c r="B3" s="188" t="s">
        <v>167</v>
      </c>
      <c r="C3" s="189"/>
      <c r="D3" s="85" t="s">
        <v>368</v>
      </c>
      <c r="E3" s="3" t="s">
        <v>353</v>
      </c>
      <c r="F3" s="86" t="s">
        <v>352</v>
      </c>
      <c r="G3" s="3" t="s">
        <v>7</v>
      </c>
      <c r="H3" s="94" t="s">
        <v>504</v>
      </c>
      <c r="I3" s="3" t="s">
        <v>149</v>
      </c>
      <c r="J3" s="86" t="s">
        <v>504</v>
      </c>
      <c r="S3" s="3" t="s">
        <v>498</v>
      </c>
      <c r="T3" s="190" t="s">
        <v>536</v>
      </c>
      <c r="U3" s="190"/>
      <c r="V3" s="190"/>
      <c r="W3" s="190"/>
      <c r="X3" s="190"/>
      <c r="Y3" s="190"/>
    </row>
    <row r="4" spans="1:29">
      <c r="B4" s="188" t="s">
        <v>168</v>
      </c>
      <c r="C4" s="189"/>
      <c r="D4" s="85" t="s">
        <v>371</v>
      </c>
      <c r="E4" s="3" t="s">
        <v>497</v>
      </c>
      <c r="F4" s="170" t="s">
        <v>512</v>
      </c>
      <c r="G4" s="3" t="s">
        <v>367</v>
      </c>
      <c r="H4" s="86" t="s">
        <v>169</v>
      </c>
      <c r="I4" s="3" t="s">
        <v>150</v>
      </c>
      <c r="J4" s="86" t="s">
        <v>505</v>
      </c>
      <c r="L4" s="91"/>
      <c r="M4" s="91"/>
      <c r="N4" s="91"/>
      <c r="S4" s="3" t="s">
        <v>499</v>
      </c>
      <c r="T4" s="187" t="s">
        <v>501</v>
      </c>
      <c r="U4" s="187"/>
      <c r="V4" s="187"/>
      <c r="W4" s="187"/>
      <c r="X4" s="187"/>
      <c r="Y4" s="187"/>
    </row>
    <row r="5" spans="1:29" ht="20" customHeight="1">
      <c r="B5" s="188" t="s">
        <v>379</v>
      </c>
      <c r="C5" s="189"/>
      <c r="D5" s="86" t="s">
        <v>534</v>
      </c>
      <c r="E5" s="3" t="s">
        <v>383</v>
      </c>
      <c r="F5" s="87" t="s">
        <v>170</v>
      </c>
      <c r="G5" s="193" t="s">
        <v>351</v>
      </c>
      <c r="H5" s="194"/>
      <c r="I5" s="194"/>
      <c r="J5" s="194"/>
      <c r="L5" s="82"/>
      <c r="M5" s="82"/>
      <c r="N5" s="82"/>
      <c r="S5" s="193" t="s">
        <v>500</v>
      </c>
      <c r="T5" s="191" t="s">
        <v>502</v>
      </c>
      <c r="U5" s="192"/>
      <c r="V5" s="192"/>
      <c r="W5" s="192"/>
      <c r="X5" s="192"/>
      <c r="Y5" s="192"/>
    </row>
    <row r="6" spans="1:29" ht="20" customHeight="1">
      <c r="B6" s="188" t="s">
        <v>380</v>
      </c>
      <c r="C6" s="189"/>
      <c r="D6" s="88" t="s">
        <v>161</v>
      </c>
      <c r="E6" s="3" t="s">
        <v>384</v>
      </c>
      <c r="F6" s="88" t="s">
        <v>158</v>
      </c>
      <c r="G6" s="193"/>
      <c r="H6" s="194"/>
      <c r="I6" s="194"/>
      <c r="J6" s="194"/>
      <c r="L6" s="82"/>
      <c r="M6" s="82"/>
      <c r="N6" s="82"/>
      <c r="S6" s="193"/>
      <c r="T6" s="192"/>
      <c r="U6" s="192"/>
      <c r="V6" s="192"/>
      <c r="W6" s="192"/>
      <c r="X6" s="192"/>
      <c r="Y6" s="192"/>
    </row>
    <row r="7" spans="1:29" ht="20" customHeight="1">
      <c r="B7" s="188" t="s">
        <v>381</v>
      </c>
      <c r="C7" s="189"/>
      <c r="D7" s="88" t="s">
        <v>369</v>
      </c>
      <c r="E7" s="3" t="s">
        <v>385</v>
      </c>
      <c r="F7" s="88" t="s">
        <v>160</v>
      </c>
      <c r="G7" s="193"/>
      <c r="H7" s="194"/>
      <c r="I7" s="194"/>
      <c r="J7" s="194"/>
      <c r="L7" s="82"/>
      <c r="M7" s="82"/>
      <c r="N7" s="82"/>
      <c r="S7" s="193"/>
      <c r="T7" s="192"/>
      <c r="U7" s="192"/>
      <c r="V7" s="192"/>
      <c r="W7" s="192"/>
      <c r="X7" s="192"/>
      <c r="Y7" s="192"/>
    </row>
    <row r="8" spans="1:29" ht="21" customHeight="1">
      <c r="B8" s="188" t="s">
        <v>382</v>
      </c>
      <c r="C8" s="189"/>
      <c r="D8" s="184" t="s">
        <v>370</v>
      </c>
      <c r="E8" s="185"/>
      <c r="F8" s="186"/>
      <c r="G8" s="193"/>
      <c r="H8" s="194"/>
      <c r="I8" s="194"/>
      <c r="J8" s="194"/>
      <c r="L8" s="82"/>
      <c r="M8" s="82"/>
      <c r="N8" s="82"/>
      <c r="S8" s="193"/>
      <c r="T8" s="192"/>
      <c r="U8" s="192"/>
      <c r="V8" s="192"/>
      <c r="W8" s="192"/>
      <c r="X8" s="192"/>
      <c r="Y8" s="192"/>
    </row>
    <row r="9" spans="1:29">
      <c r="J9" s="95"/>
      <c r="L9" s="91"/>
      <c r="M9" s="91"/>
      <c r="N9" s="91"/>
      <c r="S9" s="83" t="s">
        <v>452</v>
      </c>
    </row>
    <row r="10" spans="1:29">
      <c r="B10" s="83" t="s">
        <v>152</v>
      </c>
      <c r="H10" s="96" t="s">
        <v>392</v>
      </c>
      <c r="I10" s="96" t="s">
        <v>391</v>
      </c>
      <c r="J10" s="96" t="s">
        <v>391</v>
      </c>
      <c r="K10" s="96" t="s">
        <v>391</v>
      </c>
      <c r="L10" s="96" t="s">
        <v>391</v>
      </c>
      <c r="M10" s="96" t="s">
        <v>391</v>
      </c>
      <c r="Q10" s="96" t="s">
        <v>395</v>
      </c>
      <c r="S10" s="182" t="s">
        <v>414</v>
      </c>
      <c r="T10" s="183"/>
      <c r="U10" s="183"/>
      <c r="V10" s="183"/>
      <c r="W10" s="183"/>
      <c r="X10" s="183"/>
      <c r="Y10" s="183"/>
      <c r="AC10" s="2" t="s">
        <v>503</v>
      </c>
    </row>
    <row r="11" spans="1:29" s="84" customFormat="1" ht="51">
      <c r="B11" s="92" t="s">
        <v>6</v>
      </c>
      <c r="C11" s="93" t="s">
        <v>386</v>
      </c>
      <c r="D11" s="93" t="s">
        <v>387</v>
      </c>
      <c r="E11" s="93" t="s">
        <v>388</v>
      </c>
      <c r="F11" s="93" t="s">
        <v>389</v>
      </c>
      <c r="G11" s="163" t="s">
        <v>372</v>
      </c>
      <c r="H11" s="164" t="s">
        <v>486</v>
      </c>
      <c r="I11" s="165" t="s">
        <v>487</v>
      </c>
      <c r="J11" s="165" t="s">
        <v>373</v>
      </c>
      <c r="K11" s="165" t="s">
        <v>488</v>
      </c>
      <c r="L11" s="166" t="s">
        <v>484</v>
      </c>
      <c r="M11" s="166" t="s">
        <v>485</v>
      </c>
      <c r="N11" s="167" t="s">
        <v>448</v>
      </c>
      <c r="O11" s="167" t="s">
        <v>449</v>
      </c>
      <c r="P11" s="167" t="s">
        <v>450</v>
      </c>
      <c r="Q11" s="166" t="s">
        <v>394</v>
      </c>
      <c r="S11" s="101" t="s">
        <v>535</v>
      </c>
      <c r="T11" s="102"/>
      <c r="U11" s="102"/>
      <c r="V11" s="102"/>
      <c r="W11" s="102"/>
      <c r="X11" s="102"/>
      <c r="Y11" s="103"/>
    </row>
    <row r="12" spans="1:29">
      <c r="B12" s="66">
        <v>1</v>
      </c>
      <c r="C12" s="65" t="s">
        <v>163</v>
      </c>
      <c r="D12" s="65" t="s">
        <v>162</v>
      </c>
      <c r="E12" s="65" t="s">
        <v>374</v>
      </c>
      <c r="F12" s="65" t="s">
        <v>85</v>
      </c>
      <c r="G12" s="172">
        <v>1</v>
      </c>
      <c r="H12" s="172"/>
      <c r="I12" s="172"/>
      <c r="J12" s="172" t="s">
        <v>496</v>
      </c>
      <c r="K12" s="172"/>
      <c r="L12" s="172" t="s">
        <v>495</v>
      </c>
      <c r="M12" s="172"/>
      <c r="N12" s="172"/>
      <c r="O12" s="172"/>
      <c r="P12" s="172"/>
      <c r="Q12" s="162"/>
      <c r="S12" s="104" t="s">
        <v>516</v>
      </c>
      <c r="T12" s="105"/>
      <c r="U12" s="105"/>
      <c r="V12" s="105"/>
      <c r="W12" s="105"/>
      <c r="X12" s="105"/>
      <c r="Y12" s="106"/>
    </row>
    <row r="13" spans="1:29">
      <c r="B13" s="76">
        <v>2</v>
      </c>
      <c r="C13" s="65" t="s">
        <v>356</v>
      </c>
      <c r="D13" s="65" t="s">
        <v>358</v>
      </c>
      <c r="E13" s="65" t="s">
        <v>375</v>
      </c>
      <c r="F13" s="65" t="s">
        <v>360</v>
      </c>
      <c r="G13" s="172"/>
      <c r="H13" s="172">
        <v>10</v>
      </c>
      <c r="I13" s="172"/>
      <c r="J13" s="172"/>
      <c r="K13" s="172"/>
      <c r="L13" s="172"/>
      <c r="M13" s="172"/>
      <c r="N13" s="172">
        <v>1</v>
      </c>
      <c r="O13" s="172"/>
      <c r="P13" s="172"/>
      <c r="Q13" s="162"/>
      <c r="S13" s="104" t="s">
        <v>517</v>
      </c>
      <c r="T13" s="105"/>
      <c r="U13" s="105"/>
      <c r="V13" s="105"/>
      <c r="W13" s="105"/>
      <c r="X13" s="105"/>
      <c r="Y13" s="106"/>
    </row>
    <row r="14" spans="1:29">
      <c r="B14" s="76">
        <v>3</v>
      </c>
      <c r="C14" s="65" t="s">
        <v>357</v>
      </c>
      <c r="D14" s="65" t="s">
        <v>359</v>
      </c>
      <c r="E14" s="65" t="s">
        <v>41</v>
      </c>
      <c r="F14" s="65" t="s">
        <v>360</v>
      </c>
      <c r="G14" s="172"/>
      <c r="H14" s="172">
        <v>10</v>
      </c>
      <c r="I14" s="172"/>
      <c r="J14" s="172"/>
      <c r="K14" s="172"/>
      <c r="L14" s="172"/>
      <c r="M14" s="172"/>
      <c r="N14" s="172"/>
      <c r="O14" s="172"/>
      <c r="P14" s="172"/>
      <c r="Q14" s="162"/>
      <c r="S14" s="104" t="s">
        <v>518</v>
      </c>
      <c r="T14" s="105"/>
      <c r="U14" s="105"/>
      <c r="V14" s="105"/>
      <c r="W14" s="105"/>
      <c r="X14" s="105"/>
      <c r="Y14" s="106"/>
    </row>
    <row r="15" spans="1:29">
      <c r="B15" s="76">
        <v>4</v>
      </c>
      <c r="C15" s="65" t="s">
        <v>166</v>
      </c>
      <c r="D15" s="65" t="s">
        <v>361</v>
      </c>
      <c r="E15" s="65" t="s">
        <v>16</v>
      </c>
      <c r="F15" s="65" t="s">
        <v>470</v>
      </c>
      <c r="G15" s="172"/>
      <c r="H15" s="172">
        <v>1</v>
      </c>
      <c r="I15" s="172"/>
      <c r="J15" s="172"/>
      <c r="K15" s="172"/>
      <c r="L15" s="172"/>
      <c r="M15" s="172"/>
      <c r="N15" s="172">
        <v>2</v>
      </c>
      <c r="O15" s="172"/>
      <c r="P15" s="172"/>
      <c r="Q15" s="162"/>
      <c r="S15" s="104" t="s">
        <v>519</v>
      </c>
      <c r="T15" s="105"/>
      <c r="U15" s="105"/>
      <c r="V15" s="105"/>
      <c r="W15" s="105"/>
      <c r="X15" s="105"/>
      <c r="Y15" s="106"/>
    </row>
    <row r="16" spans="1:29">
      <c r="B16" s="76">
        <v>5</v>
      </c>
      <c r="C16" s="65" t="s">
        <v>354</v>
      </c>
      <c r="D16" s="65" t="s">
        <v>362</v>
      </c>
      <c r="E16" s="65" t="s">
        <v>151</v>
      </c>
      <c r="F16" s="65" t="s">
        <v>32</v>
      </c>
      <c r="G16" s="172"/>
      <c r="H16" s="172"/>
      <c r="I16" s="172"/>
      <c r="J16" s="172"/>
      <c r="K16" s="172"/>
      <c r="L16" s="172"/>
      <c r="M16" s="172"/>
      <c r="N16" s="172"/>
      <c r="O16" s="172"/>
      <c r="P16" s="172"/>
      <c r="Q16" s="162"/>
      <c r="S16" s="104" t="s">
        <v>520</v>
      </c>
      <c r="T16" s="105"/>
      <c r="U16" s="105"/>
      <c r="V16" s="105"/>
      <c r="W16" s="105"/>
      <c r="X16" s="105"/>
      <c r="Y16" s="106"/>
    </row>
    <row r="17" spans="2:25">
      <c r="B17" s="76">
        <v>6</v>
      </c>
      <c r="C17" s="65" t="s">
        <v>164</v>
      </c>
      <c r="D17" s="65" t="s">
        <v>363</v>
      </c>
      <c r="E17" s="65" t="s">
        <v>41</v>
      </c>
      <c r="F17" s="65" t="s">
        <v>360</v>
      </c>
      <c r="G17" s="172"/>
      <c r="H17" s="172">
        <v>30</v>
      </c>
      <c r="I17" s="172"/>
      <c r="J17" s="172"/>
      <c r="K17" s="172"/>
      <c r="L17" s="172"/>
      <c r="M17" s="172"/>
      <c r="N17" s="172"/>
      <c r="O17" s="172"/>
      <c r="P17" s="172"/>
      <c r="Q17" s="162"/>
      <c r="S17" s="104" t="s">
        <v>521</v>
      </c>
      <c r="T17" s="105"/>
      <c r="U17" s="105"/>
      <c r="V17" s="105"/>
      <c r="W17" s="105"/>
      <c r="X17" s="105"/>
      <c r="Y17" s="106"/>
    </row>
    <row r="18" spans="2:25">
      <c r="B18" s="76">
        <v>7</v>
      </c>
      <c r="C18" s="65" t="s">
        <v>355</v>
      </c>
      <c r="D18" s="65" t="s">
        <v>364</v>
      </c>
      <c r="E18" s="65" t="s">
        <v>151</v>
      </c>
      <c r="F18" s="65" t="s">
        <v>32</v>
      </c>
      <c r="G18" s="172"/>
      <c r="H18" s="172"/>
      <c r="I18" s="172"/>
      <c r="J18" s="172"/>
      <c r="K18" s="172"/>
      <c r="L18" s="172"/>
      <c r="M18" s="172"/>
      <c r="N18" s="172"/>
      <c r="O18" s="172"/>
      <c r="P18" s="172"/>
      <c r="Q18" s="162"/>
      <c r="S18" s="104" t="s">
        <v>522</v>
      </c>
      <c r="T18" s="105"/>
      <c r="U18" s="105"/>
      <c r="V18" s="105"/>
      <c r="W18" s="105"/>
      <c r="X18" s="105"/>
      <c r="Y18" s="106"/>
    </row>
    <row r="19" spans="2:25">
      <c r="B19" s="76">
        <v>8</v>
      </c>
      <c r="C19" s="65" t="s">
        <v>165</v>
      </c>
      <c r="D19" s="65" t="s">
        <v>365</v>
      </c>
      <c r="E19" s="65" t="s">
        <v>41</v>
      </c>
      <c r="F19" s="65" t="s">
        <v>360</v>
      </c>
      <c r="G19" s="172"/>
      <c r="H19" s="172">
        <v>30</v>
      </c>
      <c r="I19" s="172"/>
      <c r="J19" s="172"/>
      <c r="K19" s="172"/>
      <c r="L19" s="172"/>
      <c r="M19" s="172"/>
      <c r="N19" s="172"/>
      <c r="O19" s="172"/>
      <c r="P19" s="172"/>
      <c r="Q19" s="162"/>
      <c r="S19" s="104" t="s">
        <v>523</v>
      </c>
      <c r="T19" s="105"/>
      <c r="U19" s="105"/>
      <c r="V19" s="105"/>
      <c r="W19" s="105"/>
      <c r="X19" s="105"/>
      <c r="Y19" s="106"/>
    </row>
    <row r="20" spans="2:25">
      <c r="B20" s="76">
        <v>9</v>
      </c>
      <c r="C20" s="65" t="s">
        <v>97</v>
      </c>
      <c r="D20" s="65" t="s">
        <v>366</v>
      </c>
      <c r="E20" s="65" t="s">
        <v>41</v>
      </c>
      <c r="F20" s="65" t="s">
        <v>360</v>
      </c>
      <c r="G20" s="172"/>
      <c r="H20" s="172">
        <v>50</v>
      </c>
      <c r="I20" s="172"/>
      <c r="J20" s="172"/>
      <c r="K20" s="172"/>
      <c r="L20" s="172"/>
      <c r="M20" s="172"/>
      <c r="N20" s="172"/>
      <c r="O20" s="172"/>
      <c r="P20" s="172"/>
      <c r="Q20" s="162"/>
      <c r="S20" s="104" t="s">
        <v>524</v>
      </c>
      <c r="T20" s="105"/>
      <c r="U20" s="105"/>
      <c r="V20" s="105"/>
      <c r="W20" s="105"/>
      <c r="X20" s="105"/>
      <c r="Y20" s="106"/>
    </row>
    <row r="21" spans="2:25">
      <c r="B21" s="80">
        <v>10</v>
      </c>
      <c r="C21" s="65" t="s">
        <v>489</v>
      </c>
      <c r="D21" s="65" t="s">
        <v>492</v>
      </c>
      <c r="E21" s="65" t="s">
        <v>16</v>
      </c>
      <c r="F21" s="65" t="s">
        <v>483</v>
      </c>
      <c r="G21" s="172"/>
      <c r="H21" s="172">
        <v>10</v>
      </c>
      <c r="I21" s="172">
        <v>2</v>
      </c>
      <c r="J21" s="172"/>
      <c r="K21" s="172"/>
      <c r="L21" s="172"/>
      <c r="M21" s="172"/>
      <c r="N21" s="172"/>
      <c r="O21" s="172"/>
      <c r="P21" s="172"/>
      <c r="Q21" s="162"/>
      <c r="S21" s="104" t="s">
        <v>525</v>
      </c>
      <c r="T21" s="105"/>
      <c r="U21" s="105"/>
      <c r="V21" s="105"/>
      <c r="W21" s="105"/>
      <c r="X21" s="105"/>
      <c r="Y21" s="106"/>
    </row>
    <row r="22" spans="2:25">
      <c r="B22" s="80">
        <v>11</v>
      </c>
      <c r="C22" s="65" t="s">
        <v>490</v>
      </c>
      <c r="D22" s="65" t="s">
        <v>491</v>
      </c>
      <c r="E22" s="65" t="s">
        <v>16</v>
      </c>
      <c r="F22" s="65" t="s">
        <v>481</v>
      </c>
      <c r="G22" s="172"/>
      <c r="H22" s="172">
        <v>3</v>
      </c>
      <c r="I22" s="172">
        <v>3</v>
      </c>
      <c r="J22" s="172"/>
      <c r="K22" s="172"/>
      <c r="L22" s="172"/>
      <c r="M22" s="172"/>
      <c r="N22" s="172"/>
      <c r="O22" s="172"/>
      <c r="P22" s="172"/>
      <c r="Q22" s="162"/>
      <c r="S22" s="104" t="s">
        <v>533</v>
      </c>
      <c r="T22" s="105"/>
      <c r="U22" s="105"/>
      <c r="V22" s="105"/>
      <c r="W22" s="105"/>
      <c r="X22" s="105"/>
      <c r="Y22" s="106"/>
    </row>
    <row r="23" spans="2:25">
      <c r="B23" s="80"/>
      <c r="C23" s="65"/>
      <c r="D23" s="65"/>
      <c r="E23" s="65"/>
      <c r="F23" s="65"/>
      <c r="G23" s="172"/>
      <c r="H23" s="172"/>
      <c r="I23" s="172"/>
      <c r="J23" s="172"/>
      <c r="K23" s="172"/>
      <c r="L23" s="172"/>
      <c r="M23" s="172"/>
      <c r="N23" s="172"/>
      <c r="O23" s="172"/>
      <c r="P23" s="172"/>
      <c r="Q23" s="162"/>
      <c r="S23" s="104" t="s">
        <v>526</v>
      </c>
      <c r="T23" s="105"/>
      <c r="U23" s="105"/>
      <c r="V23" s="105"/>
      <c r="W23" s="105"/>
      <c r="X23" s="105"/>
      <c r="Y23" s="106"/>
    </row>
    <row r="24" spans="2:25">
      <c r="B24" s="80"/>
      <c r="C24" s="65"/>
      <c r="D24" s="65"/>
      <c r="E24" s="65"/>
      <c r="F24" s="65"/>
      <c r="G24" s="172"/>
      <c r="H24" s="172"/>
      <c r="I24" s="172"/>
      <c r="J24" s="172"/>
      <c r="K24" s="172"/>
      <c r="L24" s="172"/>
      <c r="M24" s="172"/>
      <c r="N24" s="172"/>
      <c r="O24" s="172"/>
      <c r="P24" s="172"/>
      <c r="Q24" s="162"/>
      <c r="S24" s="104" t="s">
        <v>527</v>
      </c>
      <c r="T24" s="105"/>
      <c r="U24" s="105"/>
      <c r="V24" s="105"/>
      <c r="W24" s="105"/>
      <c r="X24" s="105"/>
      <c r="Y24" s="106"/>
    </row>
    <row r="25" spans="2:25">
      <c r="B25" s="80"/>
      <c r="C25" s="65"/>
      <c r="D25" s="65"/>
      <c r="E25" s="65"/>
      <c r="F25" s="65"/>
      <c r="G25" s="172"/>
      <c r="H25" s="172"/>
      <c r="I25" s="172"/>
      <c r="J25" s="172"/>
      <c r="K25" s="172"/>
      <c r="L25" s="172"/>
      <c r="M25" s="172"/>
      <c r="N25" s="172"/>
      <c r="O25" s="172"/>
      <c r="P25" s="172"/>
      <c r="Q25" s="162"/>
      <c r="S25" s="104" t="s">
        <v>513</v>
      </c>
      <c r="T25" s="105"/>
      <c r="U25" s="105"/>
      <c r="V25" s="105"/>
      <c r="W25" s="105"/>
      <c r="X25" s="105"/>
      <c r="Y25" s="106"/>
    </row>
    <row r="26" spans="2:25">
      <c r="B26" s="80"/>
      <c r="C26" s="65"/>
      <c r="D26" s="65"/>
      <c r="E26" s="65"/>
      <c r="F26" s="65"/>
      <c r="G26" s="172"/>
      <c r="H26" s="172"/>
      <c r="I26" s="172"/>
      <c r="J26" s="172"/>
      <c r="K26" s="172"/>
      <c r="L26" s="172"/>
      <c r="M26" s="172"/>
      <c r="N26" s="172"/>
      <c r="O26" s="172"/>
      <c r="P26" s="172"/>
      <c r="Q26" s="162"/>
      <c r="S26" s="104" t="s">
        <v>514</v>
      </c>
      <c r="T26" s="105"/>
      <c r="U26" s="105"/>
      <c r="V26" s="105"/>
      <c r="W26" s="105"/>
      <c r="X26" s="105"/>
      <c r="Y26" s="106"/>
    </row>
    <row r="27" spans="2:25">
      <c r="B27" s="80"/>
      <c r="C27" s="65"/>
      <c r="D27" s="65"/>
      <c r="E27" s="65"/>
      <c r="F27" s="65"/>
      <c r="G27" s="172"/>
      <c r="H27" s="172"/>
      <c r="I27" s="172"/>
      <c r="J27" s="172"/>
      <c r="K27" s="172"/>
      <c r="L27" s="172"/>
      <c r="M27" s="172"/>
      <c r="N27" s="172"/>
      <c r="O27" s="172"/>
      <c r="P27" s="172"/>
      <c r="Q27" s="162"/>
      <c r="S27" s="104" t="s">
        <v>528</v>
      </c>
      <c r="T27" s="105"/>
      <c r="U27" s="105"/>
      <c r="V27" s="105"/>
      <c r="W27" s="105"/>
      <c r="X27" s="105"/>
      <c r="Y27" s="106"/>
    </row>
    <row r="28" spans="2:25">
      <c r="B28" s="80"/>
      <c r="C28" s="65"/>
      <c r="D28" s="65"/>
      <c r="E28" s="65"/>
      <c r="F28" s="65"/>
      <c r="G28" s="172"/>
      <c r="H28" s="172"/>
      <c r="I28" s="172"/>
      <c r="J28" s="172"/>
      <c r="K28" s="172"/>
      <c r="L28" s="172"/>
      <c r="M28" s="172"/>
      <c r="N28" s="172"/>
      <c r="O28" s="172"/>
      <c r="P28" s="172"/>
      <c r="Q28" s="162"/>
      <c r="S28" s="104" t="s">
        <v>529</v>
      </c>
      <c r="T28" s="105"/>
      <c r="U28" s="105"/>
      <c r="V28" s="105"/>
      <c r="W28" s="105"/>
      <c r="X28" s="105"/>
      <c r="Y28" s="106"/>
    </row>
    <row r="29" spans="2:25">
      <c r="B29" s="80"/>
      <c r="C29" s="65"/>
      <c r="D29" s="65"/>
      <c r="E29" s="65"/>
      <c r="F29" s="65"/>
      <c r="G29" s="172"/>
      <c r="H29" s="172"/>
      <c r="I29" s="172"/>
      <c r="J29" s="172"/>
      <c r="K29" s="172"/>
      <c r="L29" s="172"/>
      <c r="M29" s="172"/>
      <c r="N29" s="172"/>
      <c r="O29" s="172"/>
      <c r="P29" s="172"/>
      <c r="Q29" s="162"/>
      <c r="S29" s="104" t="s">
        <v>515</v>
      </c>
      <c r="T29" s="105"/>
      <c r="U29" s="105"/>
      <c r="V29" s="105"/>
      <c r="W29" s="105"/>
      <c r="X29" s="105"/>
      <c r="Y29" s="106"/>
    </row>
    <row r="30" spans="2:25">
      <c r="B30" s="80"/>
      <c r="C30" s="65"/>
      <c r="D30" s="65"/>
      <c r="E30" s="65"/>
      <c r="F30" s="65"/>
      <c r="G30" s="172"/>
      <c r="H30" s="172"/>
      <c r="I30" s="172"/>
      <c r="J30" s="172"/>
      <c r="K30" s="172"/>
      <c r="L30" s="172"/>
      <c r="M30" s="172"/>
      <c r="N30" s="172"/>
      <c r="O30" s="172"/>
      <c r="P30" s="172"/>
      <c r="Q30" s="162"/>
      <c r="S30" s="104"/>
      <c r="T30" s="105"/>
      <c r="U30" s="105"/>
      <c r="V30" s="105"/>
      <c r="W30" s="105"/>
      <c r="X30" s="105"/>
      <c r="Y30" s="106"/>
    </row>
    <row r="31" spans="2:25">
      <c r="B31" s="80"/>
      <c r="C31" s="65"/>
      <c r="D31" s="65"/>
      <c r="E31" s="65"/>
      <c r="F31" s="65"/>
      <c r="G31" s="172"/>
      <c r="H31" s="172"/>
      <c r="I31" s="172"/>
      <c r="J31" s="172"/>
      <c r="K31" s="172"/>
      <c r="L31" s="172"/>
      <c r="M31" s="172"/>
      <c r="N31" s="172"/>
      <c r="O31" s="172"/>
      <c r="P31" s="172"/>
      <c r="Q31" s="162"/>
      <c r="S31" s="104"/>
      <c r="T31" s="105"/>
      <c r="U31" s="105"/>
      <c r="V31" s="105"/>
      <c r="W31" s="105"/>
      <c r="X31" s="105"/>
      <c r="Y31" s="106"/>
    </row>
    <row r="32" spans="2:25">
      <c r="B32" s="80"/>
      <c r="C32" s="65"/>
      <c r="D32" s="65"/>
      <c r="E32" s="65"/>
      <c r="F32" s="65"/>
      <c r="G32" s="172"/>
      <c r="H32" s="172"/>
      <c r="I32" s="172"/>
      <c r="J32" s="172"/>
      <c r="K32" s="172"/>
      <c r="L32" s="172"/>
      <c r="M32" s="172"/>
      <c r="N32" s="172"/>
      <c r="O32" s="172"/>
      <c r="P32" s="172"/>
      <c r="Q32" s="162"/>
      <c r="S32" s="104"/>
      <c r="T32" s="105"/>
      <c r="U32" s="105"/>
      <c r="V32" s="105"/>
      <c r="W32" s="105"/>
      <c r="X32" s="105"/>
      <c r="Y32" s="106"/>
    </row>
    <row r="33" spans="2:25">
      <c r="B33" s="80"/>
      <c r="C33" s="65"/>
      <c r="D33" s="65"/>
      <c r="E33" s="65"/>
      <c r="F33" s="65"/>
      <c r="G33" s="172"/>
      <c r="H33" s="172"/>
      <c r="I33" s="172"/>
      <c r="J33" s="172"/>
      <c r="K33" s="172"/>
      <c r="L33" s="172"/>
      <c r="M33" s="172"/>
      <c r="N33" s="172"/>
      <c r="O33" s="172"/>
      <c r="P33" s="172"/>
      <c r="Q33" s="162"/>
      <c r="S33" s="104"/>
      <c r="T33" s="105"/>
      <c r="U33" s="105"/>
      <c r="V33" s="105"/>
      <c r="W33" s="105"/>
      <c r="X33" s="105"/>
      <c r="Y33" s="106"/>
    </row>
    <row r="34" spans="2:25">
      <c r="B34" s="80"/>
      <c r="C34" s="65"/>
      <c r="D34" s="65"/>
      <c r="E34" s="65"/>
      <c r="F34" s="65"/>
      <c r="G34" s="172"/>
      <c r="H34" s="172"/>
      <c r="I34" s="172"/>
      <c r="J34" s="172"/>
      <c r="K34" s="172"/>
      <c r="L34" s="172"/>
      <c r="M34" s="172"/>
      <c r="N34" s="172"/>
      <c r="O34" s="172"/>
      <c r="P34" s="172"/>
      <c r="Q34" s="162"/>
      <c r="S34" s="104"/>
      <c r="T34" s="105"/>
      <c r="U34" s="105"/>
      <c r="V34" s="105"/>
      <c r="W34" s="105"/>
      <c r="X34" s="105"/>
      <c r="Y34" s="106"/>
    </row>
    <row r="35" spans="2:25">
      <c r="B35" s="80"/>
      <c r="C35" s="65"/>
      <c r="D35" s="65"/>
      <c r="E35" s="65"/>
      <c r="F35" s="65"/>
      <c r="G35" s="172"/>
      <c r="H35" s="172"/>
      <c r="I35" s="172"/>
      <c r="J35" s="172"/>
      <c r="K35" s="172"/>
      <c r="L35" s="172"/>
      <c r="M35" s="172"/>
      <c r="N35" s="172"/>
      <c r="O35" s="172"/>
      <c r="P35" s="172"/>
      <c r="Q35" s="162"/>
      <c r="S35" s="104"/>
      <c r="T35" s="105"/>
      <c r="U35" s="105"/>
      <c r="V35" s="105"/>
      <c r="W35" s="105"/>
      <c r="X35" s="105"/>
      <c r="Y35" s="106"/>
    </row>
    <row r="36" spans="2:25">
      <c r="B36" s="80"/>
      <c r="C36" s="65"/>
      <c r="D36" s="65"/>
      <c r="E36" s="65"/>
      <c r="F36" s="65"/>
      <c r="G36" s="172"/>
      <c r="H36" s="172"/>
      <c r="I36" s="172"/>
      <c r="J36" s="172"/>
      <c r="K36" s="172"/>
      <c r="L36" s="172"/>
      <c r="M36" s="172"/>
      <c r="N36" s="172"/>
      <c r="O36" s="172"/>
      <c r="P36" s="172"/>
      <c r="Q36" s="162"/>
      <c r="S36" s="104"/>
      <c r="T36" s="105"/>
      <c r="U36" s="105"/>
      <c r="V36" s="105"/>
      <c r="W36" s="105"/>
      <c r="X36" s="105"/>
      <c r="Y36" s="106"/>
    </row>
    <row r="37" spans="2:25">
      <c r="B37" s="80"/>
      <c r="C37" s="65"/>
      <c r="D37" s="65"/>
      <c r="E37" s="65"/>
      <c r="F37" s="65"/>
      <c r="G37" s="172"/>
      <c r="H37" s="172"/>
      <c r="I37" s="172"/>
      <c r="J37" s="172"/>
      <c r="K37" s="172"/>
      <c r="L37" s="172"/>
      <c r="M37" s="172"/>
      <c r="N37" s="172"/>
      <c r="O37" s="172"/>
      <c r="P37" s="172"/>
      <c r="Q37" s="162"/>
      <c r="S37" s="104"/>
      <c r="T37" s="105"/>
      <c r="U37" s="105"/>
      <c r="V37" s="105"/>
      <c r="W37" s="105"/>
      <c r="X37" s="105"/>
      <c r="Y37" s="106"/>
    </row>
    <row r="38" spans="2:25">
      <c r="B38" s="80"/>
      <c r="C38" s="65"/>
      <c r="D38" s="65"/>
      <c r="E38" s="65"/>
      <c r="F38" s="65"/>
      <c r="G38" s="172"/>
      <c r="H38" s="172"/>
      <c r="I38" s="172"/>
      <c r="J38" s="172"/>
      <c r="K38" s="172"/>
      <c r="L38" s="172"/>
      <c r="M38" s="172"/>
      <c r="N38" s="172"/>
      <c r="O38" s="172"/>
      <c r="P38" s="172"/>
      <c r="Q38" s="162"/>
      <c r="S38" s="104"/>
      <c r="T38" s="105"/>
      <c r="U38" s="105"/>
      <c r="V38" s="105"/>
      <c r="W38" s="105"/>
      <c r="X38" s="105"/>
      <c r="Y38" s="106"/>
    </row>
    <row r="39" spans="2:25">
      <c r="B39" s="80"/>
      <c r="C39" s="65"/>
      <c r="D39" s="65"/>
      <c r="E39" s="65"/>
      <c r="F39" s="65"/>
      <c r="G39" s="172"/>
      <c r="H39" s="172"/>
      <c r="I39" s="172"/>
      <c r="J39" s="172"/>
      <c r="K39" s="172"/>
      <c r="L39" s="172"/>
      <c r="M39" s="172"/>
      <c r="N39" s="172"/>
      <c r="O39" s="172"/>
      <c r="P39" s="172"/>
      <c r="Q39" s="162"/>
      <c r="S39" s="104"/>
      <c r="T39" s="105"/>
      <c r="U39" s="105"/>
      <c r="V39" s="105"/>
      <c r="W39" s="105"/>
      <c r="X39" s="105"/>
      <c r="Y39" s="106"/>
    </row>
    <row r="40" spans="2:25">
      <c r="B40" s="80"/>
      <c r="C40" s="65"/>
      <c r="D40" s="65"/>
      <c r="E40" s="65"/>
      <c r="F40" s="65"/>
      <c r="G40" s="172"/>
      <c r="H40" s="172"/>
      <c r="I40" s="172"/>
      <c r="J40" s="172"/>
      <c r="K40" s="172"/>
      <c r="L40" s="172"/>
      <c r="M40" s="172"/>
      <c r="N40" s="172"/>
      <c r="O40" s="172"/>
      <c r="P40" s="172"/>
      <c r="Q40" s="162"/>
      <c r="S40" s="104"/>
      <c r="T40" s="105"/>
      <c r="U40" s="105"/>
      <c r="V40" s="105"/>
      <c r="W40" s="105"/>
      <c r="X40" s="105"/>
      <c r="Y40" s="106"/>
    </row>
    <row r="41" spans="2:25">
      <c r="B41" s="80"/>
      <c r="C41" s="65"/>
      <c r="D41" s="65"/>
      <c r="E41" s="65"/>
      <c r="F41" s="65"/>
      <c r="G41" s="172"/>
      <c r="H41" s="172"/>
      <c r="I41" s="172"/>
      <c r="J41" s="172"/>
      <c r="K41" s="172"/>
      <c r="L41" s="172"/>
      <c r="M41" s="172"/>
      <c r="N41" s="172"/>
      <c r="O41" s="172"/>
      <c r="P41" s="172"/>
      <c r="Q41" s="162"/>
      <c r="S41" s="104"/>
      <c r="T41" s="105"/>
      <c r="U41" s="105"/>
      <c r="V41" s="105"/>
      <c r="W41" s="105"/>
      <c r="X41" s="105"/>
      <c r="Y41" s="106"/>
    </row>
    <row r="42" spans="2:25">
      <c r="B42" s="80"/>
      <c r="C42" s="65"/>
      <c r="D42" s="65"/>
      <c r="E42" s="65"/>
      <c r="F42" s="65"/>
      <c r="G42" s="172"/>
      <c r="H42" s="172"/>
      <c r="I42" s="172"/>
      <c r="J42" s="172"/>
      <c r="K42" s="172"/>
      <c r="L42" s="172"/>
      <c r="M42" s="172"/>
      <c r="N42" s="172"/>
      <c r="O42" s="172"/>
      <c r="P42" s="172"/>
      <c r="Q42" s="162"/>
      <c r="S42" s="104"/>
      <c r="T42" s="105"/>
      <c r="U42" s="105"/>
      <c r="V42" s="105"/>
      <c r="W42" s="105"/>
      <c r="X42" s="105"/>
      <c r="Y42" s="106"/>
    </row>
    <row r="43" spans="2:25">
      <c r="B43" s="80"/>
      <c r="C43" s="65"/>
      <c r="D43" s="65"/>
      <c r="E43" s="65"/>
      <c r="F43" s="65"/>
      <c r="G43" s="172"/>
      <c r="H43" s="172"/>
      <c r="I43" s="172"/>
      <c r="J43" s="172"/>
      <c r="K43" s="172"/>
      <c r="L43" s="172"/>
      <c r="M43" s="172"/>
      <c r="N43" s="172"/>
      <c r="O43" s="172"/>
      <c r="P43" s="172"/>
      <c r="Q43" s="162"/>
      <c r="S43" s="104"/>
      <c r="T43" s="105"/>
      <c r="U43" s="105"/>
      <c r="V43" s="105"/>
      <c r="W43" s="105"/>
      <c r="X43" s="105"/>
      <c r="Y43" s="106"/>
    </row>
    <row r="44" spans="2:25">
      <c r="B44" s="80"/>
      <c r="C44" s="65"/>
      <c r="D44" s="65"/>
      <c r="E44" s="65"/>
      <c r="F44" s="65"/>
      <c r="G44" s="172"/>
      <c r="H44" s="172"/>
      <c r="I44" s="172"/>
      <c r="J44" s="172"/>
      <c r="K44" s="172"/>
      <c r="L44" s="172"/>
      <c r="M44" s="172"/>
      <c r="N44" s="172"/>
      <c r="O44" s="172"/>
      <c r="P44" s="172"/>
      <c r="Q44" s="162"/>
      <c r="S44" s="104"/>
      <c r="T44" s="105"/>
      <c r="U44" s="105"/>
      <c r="V44" s="105"/>
      <c r="W44" s="105"/>
      <c r="X44" s="105"/>
      <c r="Y44" s="106"/>
    </row>
    <row r="45" spans="2:25">
      <c r="B45" s="80"/>
      <c r="C45" s="65"/>
      <c r="D45" s="65"/>
      <c r="E45" s="65"/>
      <c r="F45" s="65"/>
      <c r="G45" s="172"/>
      <c r="H45" s="172"/>
      <c r="I45" s="172"/>
      <c r="J45" s="172"/>
      <c r="K45" s="172"/>
      <c r="L45" s="172"/>
      <c r="M45" s="172"/>
      <c r="N45" s="172"/>
      <c r="O45" s="172"/>
      <c r="P45" s="172"/>
      <c r="Q45" s="162"/>
      <c r="S45" s="104"/>
      <c r="T45" s="105"/>
      <c r="U45" s="105"/>
      <c r="V45" s="105"/>
      <c r="W45" s="105"/>
      <c r="X45" s="105"/>
      <c r="Y45" s="106"/>
    </row>
    <row r="46" spans="2:25">
      <c r="B46" s="80"/>
      <c r="C46" s="65"/>
      <c r="D46" s="65"/>
      <c r="E46" s="65"/>
      <c r="F46" s="65"/>
      <c r="G46" s="172"/>
      <c r="H46" s="172"/>
      <c r="I46" s="172"/>
      <c r="J46" s="172"/>
      <c r="K46" s="172"/>
      <c r="L46" s="172"/>
      <c r="M46" s="172"/>
      <c r="N46" s="172"/>
      <c r="O46" s="172"/>
      <c r="P46" s="172"/>
      <c r="Q46" s="162"/>
      <c r="S46" s="104"/>
      <c r="T46" s="105"/>
      <c r="U46" s="105"/>
      <c r="V46" s="105"/>
      <c r="W46" s="105"/>
      <c r="X46" s="105"/>
      <c r="Y46" s="106"/>
    </row>
    <row r="47" spans="2:25">
      <c r="B47" s="80"/>
      <c r="C47" s="65"/>
      <c r="D47" s="65"/>
      <c r="E47" s="65"/>
      <c r="F47" s="65"/>
      <c r="G47" s="172"/>
      <c r="H47" s="172"/>
      <c r="I47" s="172"/>
      <c r="J47" s="172"/>
      <c r="K47" s="172"/>
      <c r="L47" s="172"/>
      <c r="M47" s="172"/>
      <c r="N47" s="172"/>
      <c r="O47" s="172"/>
      <c r="P47" s="172"/>
      <c r="Q47" s="162"/>
      <c r="S47" s="104"/>
      <c r="T47" s="105"/>
      <c r="U47" s="105"/>
      <c r="V47" s="105"/>
      <c r="W47" s="105"/>
      <c r="X47" s="105"/>
      <c r="Y47" s="106"/>
    </row>
    <row r="48" spans="2:25">
      <c r="B48" s="80"/>
      <c r="C48" s="65"/>
      <c r="D48" s="65"/>
      <c r="E48" s="65"/>
      <c r="F48" s="65"/>
      <c r="G48" s="172"/>
      <c r="H48" s="172"/>
      <c r="I48" s="172"/>
      <c r="J48" s="172"/>
      <c r="K48" s="172"/>
      <c r="L48" s="172"/>
      <c r="M48" s="172"/>
      <c r="N48" s="172"/>
      <c r="O48" s="172"/>
      <c r="P48" s="172"/>
      <c r="Q48" s="162"/>
      <c r="S48" s="104"/>
      <c r="T48" s="105"/>
      <c r="U48" s="105"/>
      <c r="V48" s="105"/>
      <c r="W48" s="105"/>
      <c r="X48" s="105"/>
      <c r="Y48" s="106"/>
    </row>
    <row r="49" spans="2:25">
      <c r="B49" s="80"/>
      <c r="C49" s="65"/>
      <c r="D49" s="65"/>
      <c r="E49" s="65"/>
      <c r="F49" s="65"/>
      <c r="G49" s="172"/>
      <c r="H49" s="172"/>
      <c r="I49" s="172"/>
      <c r="J49" s="172"/>
      <c r="K49" s="172"/>
      <c r="L49" s="172"/>
      <c r="M49" s="172"/>
      <c r="N49" s="172"/>
      <c r="O49" s="172"/>
      <c r="P49" s="172"/>
      <c r="Q49" s="162"/>
      <c r="S49" s="104"/>
      <c r="T49" s="105"/>
      <c r="U49" s="105"/>
      <c r="V49" s="105"/>
      <c r="W49" s="105"/>
      <c r="X49" s="105"/>
      <c r="Y49" s="106"/>
    </row>
    <row r="50" spans="2:25">
      <c r="B50" s="80"/>
      <c r="C50" s="65"/>
      <c r="D50" s="65"/>
      <c r="E50" s="65"/>
      <c r="F50" s="65"/>
      <c r="G50" s="172"/>
      <c r="H50" s="172"/>
      <c r="I50" s="172"/>
      <c r="J50" s="172"/>
      <c r="K50" s="172"/>
      <c r="L50" s="172"/>
      <c r="M50" s="172"/>
      <c r="N50" s="172"/>
      <c r="O50" s="172"/>
      <c r="P50" s="172"/>
      <c r="Q50" s="162"/>
      <c r="S50" s="104"/>
      <c r="T50" s="105"/>
      <c r="U50" s="105"/>
      <c r="V50" s="105"/>
      <c r="W50" s="105"/>
      <c r="X50" s="105"/>
      <c r="Y50" s="106"/>
    </row>
    <row r="51" spans="2:25">
      <c r="B51" s="80"/>
      <c r="C51" s="65"/>
      <c r="D51" s="65"/>
      <c r="E51" s="65"/>
      <c r="F51" s="65"/>
      <c r="G51" s="172"/>
      <c r="H51" s="172"/>
      <c r="I51" s="172"/>
      <c r="J51" s="172"/>
      <c r="K51" s="172"/>
      <c r="L51" s="172"/>
      <c r="M51" s="172"/>
      <c r="N51" s="172"/>
      <c r="O51" s="172"/>
      <c r="P51" s="172"/>
      <c r="Q51" s="162"/>
      <c r="S51" s="104"/>
      <c r="T51" s="105"/>
      <c r="U51" s="105"/>
      <c r="V51" s="105"/>
      <c r="W51" s="105"/>
      <c r="X51" s="105"/>
      <c r="Y51" s="106"/>
    </row>
    <row r="52" spans="2:25">
      <c r="B52" s="80"/>
      <c r="C52" s="65"/>
      <c r="D52" s="65"/>
      <c r="E52" s="65"/>
      <c r="F52" s="65"/>
      <c r="G52" s="172"/>
      <c r="H52" s="172"/>
      <c r="I52" s="172"/>
      <c r="J52" s="172"/>
      <c r="K52" s="172"/>
      <c r="L52" s="172"/>
      <c r="M52" s="172"/>
      <c r="N52" s="172"/>
      <c r="O52" s="172"/>
      <c r="P52" s="172"/>
      <c r="Q52" s="162"/>
      <c r="S52" s="104"/>
      <c r="T52" s="105"/>
      <c r="U52" s="105"/>
      <c r="V52" s="105"/>
      <c r="W52" s="105"/>
      <c r="X52" s="105"/>
      <c r="Y52" s="106"/>
    </row>
    <row r="53" spans="2:25">
      <c r="B53" s="80"/>
      <c r="C53" s="65"/>
      <c r="D53" s="65"/>
      <c r="E53" s="65"/>
      <c r="F53" s="65"/>
      <c r="G53" s="172"/>
      <c r="H53" s="172"/>
      <c r="I53" s="172"/>
      <c r="J53" s="172"/>
      <c r="K53" s="172"/>
      <c r="L53" s="172"/>
      <c r="M53" s="172"/>
      <c r="N53" s="172"/>
      <c r="O53" s="172"/>
      <c r="P53" s="172"/>
      <c r="Q53" s="162"/>
      <c r="S53" s="104"/>
      <c r="T53" s="105"/>
      <c r="U53" s="105"/>
      <c r="V53" s="105"/>
      <c r="W53" s="105"/>
      <c r="X53" s="105"/>
      <c r="Y53" s="106"/>
    </row>
    <row r="54" spans="2:25">
      <c r="B54" s="80"/>
      <c r="C54" s="65"/>
      <c r="D54" s="65"/>
      <c r="E54" s="65"/>
      <c r="F54" s="65"/>
      <c r="G54" s="172"/>
      <c r="H54" s="172"/>
      <c r="I54" s="172"/>
      <c r="J54" s="172"/>
      <c r="K54" s="172"/>
      <c r="L54" s="172"/>
      <c r="M54" s="172"/>
      <c r="N54" s="172"/>
      <c r="O54" s="172"/>
      <c r="P54" s="172"/>
      <c r="Q54" s="162"/>
      <c r="S54" s="104"/>
      <c r="T54" s="105"/>
      <c r="U54" s="105"/>
      <c r="V54" s="105"/>
      <c r="W54" s="105"/>
      <c r="X54" s="105"/>
      <c r="Y54" s="106"/>
    </row>
    <row r="55" spans="2:25">
      <c r="B55" s="80"/>
      <c r="C55" s="65"/>
      <c r="D55" s="65"/>
      <c r="E55" s="65"/>
      <c r="F55" s="65"/>
      <c r="G55" s="172"/>
      <c r="H55" s="172"/>
      <c r="I55" s="172"/>
      <c r="J55" s="172"/>
      <c r="K55" s="172"/>
      <c r="L55" s="172"/>
      <c r="M55" s="172"/>
      <c r="N55" s="172"/>
      <c r="O55" s="172"/>
      <c r="P55" s="172"/>
      <c r="Q55" s="162"/>
      <c r="S55" s="104"/>
      <c r="T55" s="105"/>
      <c r="U55" s="105"/>
      <c r="V55" s="105"/>
      <c r="W55" s="105"/>
      <c r="X55" s="105"/>
      <c r="Y55" s="106"/>
    </row>
    <row r="56" spans="2:25">
      <c r="B56" s="80"/>
      <c r="C56" s="65"/>
      <c r="D56" s="65"/>
      <c r="E56" s="65"/>
      <c r="F56" s="65"/>
      <c r="G56" s="172"/>
      <c r="H56" s="172"/>
      <c r="I56" s="172"/>
      <c r="J56" s="172"/>
      <c r="K56" s="172"/>
      <c r="L56" s="172"/>
      <c r="M56" s="172"/>
      <c r="N56" s="172"/>
      <c r="O56" s="172"/>
      <c r="P56" s="172"/>
      <c r="Q56" s="162"/>
      <c r="S56" s="104"/>
      <c r="T56" s="105"/>
      <c r="U56" s="105"/>
      <c r="V56" s="105"/>
      <c r="W56" s="105"/>
      <c r="X56" s="105"/>
      <c r="Y56" s="106"/>
    </row>
    <row r="57" spans="2:25">
      <c r="B57" s="80"/>
      <c r="C57" s="65"/>
      <c r="D57" s="65"/>
      <c r="E57" s="65"/>
      <c r="F57" s="65"/>
      <c r="G57" s="172"/>
      <c r="H57" s="172"/>
      <c r="I57" s="172"/>
      <c r="J57" s="172"/>
      <c r="K57" s="172"/>
      <c r="L57" s="172"/>
      <c r="M57" s="172"/>
      <c r="N57" s="172"/>
      <c r="O57" s="172"/>
      <c r="P57" s="172"/>
      <c r="Q57" s="162"/>
      <c r="S57" s="104"/>
      <c r="T57" s="105"/>
      <c r="U57" s="105"/>
      <c r="V57" s="105"/>
      <c r="W57" s="105"/>
      <c r="X57" s="105"/>
      <c r="Y57" s="106"/>
    </row>
    <row r="58" spans="2:25">
      <c r="B58" s="80"/>
      <c r="C58" s="65"/>
      <c r="D58" s="65"/>
      <c r="E58" s="65"/>
      <c r="F58" s="65"/>
      <c r="G58" s="172"/>
      <c r="H58" s="172"/>
      <c r="I58" s="172"/>
      <c r="J58" s="172"/>
      <c r="K58" s="172"/>
      <c r="L58" s="172"/>
      <c r="M58" s="172"/>
      <c r="N58" s="172"/>
      <c r="O58" s="172"/>
      <c r="P58" s="172"/>
      <c r="Q58" s="162"/>
      <c r="S58" s="104"/>
      <c r="T58" s="105"/>
      <c r="U58" s="105"/>
      <c r="V58" s="105"/>
      <c r="W58" s="105"/>
      <c r="X58" s="105"/>
      <c r="Y58" s="106"/>
    </row>
    <row r="59" spans="2:25">
      <c r="B59" s="80"/>
      <c r="C59" s="65"/>
      <c r="D59" s="65"/>
      <c r="E59" s="65"/>
      <c r="F59" s="65"/>
      <c r="G59" s="172"/>
      <c r="H59" s="172"/>
      <c r="I59" s="172"/>
      <c r="J59" s="172"/>
      <c r="K59" s="172"/>
      <c r="L59" s="172"/>
      <c r="M59" s="172"/>
      <c r="N59" s="172"/>
      <c r="O59" s="172"/>
      <c r="P59" s="172"/>
      <c r="Q59" s="162"/>
      <c r="S59" s="104"/>
      <c r="T59" s="105"/>
      <c r="U59" s="105"/>
      <c r="V59" s="105"/>
      <c r="W59" s="105"/>
      <c r="X59" s="105"/>
      <c r="Y59" s="106"/>
    </row>
    <row r="60" spans="2:25">
      <c r="B60" s="80"/>
      <c r="C60" s="65"/>
      <c r="D60" s="65"/>
      <c r="E60" s="65"/>
      <c r="F60" s="65"/>
      <c r="G60" s="172"/>
      <c r="H60" s="172"/>
      <c r="I60" s="172"/>
      <c r="J60" s="172"/>
      <c r="K60" s="172"/>
      <c r="L60" s="172"/>
      <c r="M60" s="172"/>
      <c r="N60" s="172"/>
      <c r="O60" s="172"/>
      <c r="P60" s="172"/>
      <c r="Q60" s="162"/>
      <c r="S60" s="104"/>
      <c r="T60" s="105"/>
      <c r="U60" s="105"/>
      <c r="V60" s="105"/>
      <c r="W60" s="105"/>
      <c r="X60" s="105"/>
      <c r="Y60" s="106"/>
    </row>
    <row r="61" spans="2:25">
      <c r="B61" s="80"/>
      <c r="C61" s="65"/>
      <c r="D61" s="65"/>
      <c r="E61" s="65"/>
      <c r="F61" s="65"/>
      <c r="G61" s="169"/>
      <c r="H61" s="169"/>
      <c r="I61" s="169"/>
      <c r="J61" s="169"/>
      <c r="K61" s="169"/>
      <c r="L61" s="169"/>
      <c r="M61" s="169"/>
      <c r="N61" s="169"/>
      <c r="O61" s="169"/>
      <c r="P61" s="169"/>
      <c r="Q61" s="162"/>
      <c r="S61" s="104"/>
      <c r="T61" s="105"/>
      <c r="U61" s="105"/>
      <c r="V61" s="105"/>
      <c r="W61" s="105"/>
      <c r="X61" s="105"/>
      <c r="Y61" s="106"/>
    </row>
    <row r="62" spans="2:25">
      <c r="S62" s="104"/>
      <c r="T62" s="105"/>
      <c r="U62" s="105"/>
      <c r="V62" s="105"/>
      <c r="W62" s="105"/>
      <c r="X62" s="105"/>
      <c r="Y62" s="106"/>
    </row>
    <row r="63" spans="2:25">
      <c r="S63" s="107"/>
      <c r="T63" s="108"/>
      <c r="U63" s="108"/>
      <c r="V63" s="108"/>
      <c r="W63" s="108"/>
      <c r="X63" s="108"/>
      <c r="Y63" s="109"/>
    </row>
  </sheetData>
  <mergeCells count="14">
    <mergeCell ref="S10:Y10"/>
    <mergeCell ref="D8:F8"/>
    <mergeCell ref="T4:Y4"/>
    <mergeCell ref="B8:C8"/>
    <mergeCell ref="B3:C3"/>
    <mergeCell ref="B4:C4"/>
    <mergeCell ref="B5:C5"/>
    <mergeCell ref="B6:C6"/>
    <mergeCell ref="B7:C7"/>
    <mergeCell ref="T3:Y3"/>
    <mergeCell ref="T5:Y8"/>
    <mergeCell ref="S5:S8"/>
    <mergeCell ref="G5:G8"/>
    <mergeCell ref="H5:J8"/>
  </mergeCells>
  <phoneticPr fontId="1"/>
  <conditionalFormatting sqref="F3:G3">
    <cfRule type="cellIs" dxfId="9" priority="2" operator="equal">
      <formula>"マスタデータ"</formula>
    </cfRule>
  </conditionalFormatting>
  <conditionalFormatting sqref="S3">
    <cfRule type="cellIs" dxfId="8" priority="1" operator="equal">
      <formula>"マスタデータ"</formula>
    </cfRule>
  </conditionalFormatting>
  <dataValidations count="16">
    <dataValidation type="list" allowBlank="1" showInputMessage="1" showErrorMessage="1" sqref="F3" xr:uid="{0BFD22E9-AFDE-A549-8F88-C4881C8E4881}">
      <formula1>"マスタデータ,トランザクションデータ"</formula1>
    </dataValidation>
    <dataValidation type="list" allowBlank="1" showInputMessage="1" showErrorMessage="1" sqref="F4" xr:uid="{1476FE83-D2F0-7742-9EEB-1BA274483D36}">
      <formula1>"TEMPORARY TABLE, TABLE"</formula1>
    </dataValidation>
    <dataValidation type="list" allowBlank="1" showInputMessage="1" showErrorMessage="1" sqref="E12:E61" xr:uid="{E6ADBE6B-FC94-414D-B278-4D7E53CBEF8C}">
      <formula1>DataTypeCategory</formula1>
    </dataValidation>
    <dataValidation type="list" allowBlank="1" showInputMessage="1" showErrorMessage="1" prompt="型分類を選択してから、データ型を選択してください。" sqref="F12:F61" xr:uid="{4EE7C88A-1FED-C340-AE26-D2C284951ACE}">
      <formula1>INDIRECT($E12)</formula1>
    </dataValidation>
    <dataValidation type="list" allowBlank="1" showInputMessage="1" showErrorMessage="1" sqref="F5" xr:uid="{1A77845B-6C06-734B-8761-A9FD13C9B773}">
      <formula1>MySQL_Ver</formula1>
    </dataValidation>
    <dataValidation type="list" allowBlank="1" showInputMessage="1" showErrorMessage="1" sqref="F7" xr:uid="{E40AA1F8-D611-C04A-9F45-77B8E8C1486D}">
      <formula1>Charset_List</formula1>
    </dataValidation>
    <dataValidation type="list" allowBlank="1" showInputMessage="1" showErrorMessage="1" sqref="F6" xr:uid="{C86DFCDC-0D25-3041-8222-799DC8F3A163}">
      <formula1>ENGINE</formula1>
    </dataValidation>
    <dataValidation type="list" allowBlank="1" showInputMessage="1" showErrorMessage="1" promptTitle="主キー（または複合主キー）の入力" prompt="主キーの場合は「1」を入力、_x000a_複合主キーの場合は 1〜5までの数字で入力してください。" sqref="G12:G61" xr:uid="{09826EAD-5943-B04A-A00D-5A587BFCEC37}">
      <formula1>"1,2,3,4,5"</formula1>
    </dataValidation>
    <dataValidation type="list" allowBlank="1" showInputMessage="1" showErrorMessage="1" sqref="J12:J61" xr:uid="{03997319-27A7-2046-A4AE-042895F5B222}">
      <formula1>"NOT NULL"</formula1>
    </dataValidation>
    <dataValidation imeMode="halfAlpha" allowBlank="1" showInputMessage="1" showErrorMessage="1" sqref="K12:K61" xr:uid="{952EAB5C-F296-D149-B3EA-9B5EC6EDE31D}"/>
    <dataValidation type="list" allowBlank="1" showInputMessage="1" showErrorMessage="1" sqref="L12:L61" xr:uid="{CD7FCB67-B4AB-B340-97E9-BF0700C59455}">
      <formula1>"UNSIGNED"</formula1>
    </dataValidation>
    <dataValidation type="list" allowBlank="1" showInputMessage="1" showErrorMessage="1" sqref="M12:M61" xr:uid="{B8AE4B19-4FEA-2B48-B999-83BDFC7C8C3B}">
      <formula1>"ZEROFILL"</formula1>
    </dataValidation>
    <dataValidation type="list" allowBlank="1" showInputMessage="1" showErrorMessage="1" prompt="インデックスの指定は最大10個まで対応しています。" sqref="N12:P61" xr:uid="{424CD5A6-FBC9-CF4F-992C-47B303D2845E}">
      <formula1>"1,2,3,4,5,6,7,8,9,10"</formula1>
    </dataValidation>
    <dataValidation allowBlank="1" showInputMessage="1" showErrorMessage="1" promptTitle="物理テーブル名の入力ルール" prompt="先頭4文字は、必ず「アルファベット1文字」「数字3桁」で入力してください。_x000a_例）「m001_usr_masters」_x000a_理由）出力時のシート名で利用、かつインデックスの識別子（一部）に利用します。" sqref="D6" xr:uid="{DCB15C55-A957-2848-BAE5-1B1889C467F6}"/>
    <dataValidation allowBlank="1" showInputMessage="1" showErrorMessage="1" prompt="インデックスの指定は最大10個まで対応しています。" sqref="Q12:Q61" xr:uid="{F563E39A-035B-5C4C-899D-92E79E879953}"/>
    <dataValidation type="list" allowBlank="1" showInputMessage="1" showErrorMessage="1" sqref="G12:G61" xr:uid="{52B81F7F-7417-FA4B-81AD-BF936BDA3D98}">
      <formula1>"1,2,3,4,5"</formula1>
    </dataValidation>
  </dataValidations>
  <pageMargins left="0.7" right="0.7" top="0.75" bottom="0.75" header="0.3" footer="0.3"/>
  <pageSetup paperSize="9" orientation="portrait" horizontalDpi="0" verticalDpi="0"/>
  <ignoredErrors>
    <ignoredError sqref="F5" numberStoredAsText="1"/>
  </ignoredErrors>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SQL_ButtonClick">
                <anchor moveWithCells="1">
                  <from>
                    <xdr:col>10</xdr:col>
                    <xdr:colOff>292100</xdr:colOff>
                    <xdr:row>2</xdr:row>
                    <xdr:rowOff>0</xdr:rowOff>
                  </from>
                  <to>
                    <xdr:col>15</xdr:col>
                    <xdr:colOff>114300</xdr:colOff>
                    <xdr:row>8</xdr:row>
                    <xdr:rowOff>0</xdr:rowOff>
                  </to>
                </anchor>
              </controlPr>
            </control>
          </mc:Choice>
        </mc:AlternateContent>
        <mc:AlternateContent xmlns:mc="http://schemas.openxmlformats.org/markup-compatibility/2006">
          <mc:Choice Requires="x14">
            <control shapeId="1051" r:id="rId4" name="Button 27">
              <controlPr defaultSize="0" print="0" autoFill="0" autoPict="0" macro="[0]!CopyCreateSQL_ButtonClick">
                <anchor moveWithCells="1">
                  <from>
                    <xdr:col>25</xdr:col>
                    <xdr:colOff>292100</xdr:colOff>
                    <xdr:row>9</xdr:row>
                    <xdr:rowOff>0</xdr:rowOff>
                  </from>
                  <to>
                    <xdr:col>27</xdr:col>
                    <xdr:colOff>584200</xdr:colOff>
                    <xdr:row>11</xdr:row>
                    <xdr:rowOff>0</xdr:rowOff>
                  </to>
                </anchor>
              </controlPr>
            </control>
          </mc:Choice>
        </mc:AlternateContent>
        <mc:AlternateContent xmlns:mc="http://schemas.openxmlformats.org/markup-compatibility/2006">
          <mc:Choice Requires="x14">
            <control shapeId="1053" r:id="rId5" name="Button 29">
              <controlPr defaultSize="0" print="0" autoFill="0" autoPict="0" macro="[0]!BackInputForm_ButtonClick">
                <anchor moveWithCells="1">
                  <from>
                    <xdr:col>25</xdr:col>
                    <xdr:colOff>292100</xdr:colOff>
                    <xdr:row>4</xdr:row>
                    <xdr:rowOff>0</xdr:rowOff>
                  </from>
                  <to>
                    <xdr:col>27</xdr:col>
                    <xdr:colOff>584200</xdr:colOff>
                    <xdr:row>7</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4ADF6-9D3B-9D40-A24B-F7247F183E44}">
  <sheetPr codeName="Sheet9"/>
  <dimension ref="A1:AC63"/>
  <sheetViews>
    <sheetView showGridLines="0" tabSelected="1" workbookViewId="0">
      <selection activeCell="F22" sqref="F22"/>
    </sheetView>
  </sheetViews>
  <sheetFormatPr baseColWidth="10" defaultColWidth="11.5703125" defaultRowHeight="18"/>
  <cols>
    <col min="1" max="1" width="1.5703125" style="2" customWidth="1"/>
    <col min="2" max="2" width="4.140625" style="2" customWidth="1"/>
    <col min="3" max="3" width="17.85546875" style="58" customWidth="1"/>
    <col min="4" max="4" width="18.42578125" style="58" bestFit="1" customWidth="1"/>
    <col min="5" max="5" width="14.5703125" style="58" customWidth="1"/>
    <col min="6" max="6" width="25.85546875" style="58" bestFit="1" customWidth="1"/>
    <col min="7" max="7" width="9.7109375" style="90" bestFit="1" customWidth="1"/>
    <col min="8" max="8" width="12" style="90" bestFit="1" customWidth="1"/>
    <col min="9" max="9" width="9.5703125" style="90" bestFit="1" customWidth="1"/>
    <col min="10" max="10" width="11" style="90" customWidth="1"/>
    <col min="11" max="11" width="8.7109375" style="90" bestFit="1" customWidth="1"/>
    <col min="12" max="12" width="10.28515625" style="90" bestFit="1" customWidth="1"/>
    <col min="13" max="13" width="9.42578125" style="90" bestFit="1" customWidth="1"/>
    <col min="14" max="16" width="6.7109375" style="90" bestFit="1" customWidth="1"/>
    <col min="17" max="17" width="7.85546875" style="90" hidden="1" customWidth="1"/>
    <col min="18" max="18" width="1.7109375" style="2" customWidth="1"/>
    <col min="19" max="16384" width="11.5703125" style="2"/>
  </cols>
  <sheetData>
    <row r="1" spans="1:29" ht="25">
      <c r="A1" s="148"/>
      <c r="B1" s="98" t="str">
        <f>IF(D6&lt;&gt;"",LEFT(D6,4),"") &amp;" テーブル定義書"</f>
        <v>user テーブル定義書</v>
      </c>
      <c r="C1" s="100"/>
      <c r="D1" s="100"/>
      <c r="E1" s="100"/>
      <c r="F1" s="100"/>
      <c r="G1" s="99"/>
      <c r="H1" s="99"/>
      <c r="I1" s="99"/>
      <c r="J1" s="99"/>
      <c r="K1" s="99"/>
      <c r="L1" s="99"/>
      <c r="M1" s="99"/>
      <c r="N1" s="99"/>
      <c r="O1" s="99"/>
      <c r="P1" s="99"/>
      <c r="Q1" s="99"/>
      <c r="R1" s="148"/>
      <c r="S1" s="98" t="s">
        <v>393</v>
      </c>
      <c r="T1" s="99"/>
      <c r="U1" s="99"/>
      <c r="V1" s="99"/>
      <c r="W1" s="99"/>
      <c r="X1" s="99"/>
      <c r="Y1" s="99"/>
    </row>
    <row r="2" spans="1:29" ht="24" customHeight="1">
      <c r="B2" s="149" t="s">
        <v>376</v>
      </c>
      <c r="C2" s="67"/>
      <c r="D2" s="67"/>
      <c r="E2" s="67"/>
      <c r="F2" s="67"/>
      <c r="H2" s="89"/>
      <c r="J2" s="97" t="s">
        <v>390</v>
      </c>
      <c r="S2" s="83" t="s">
        <v>451</v>
      </c>
    </row>
    <row r="3" spans="1:29">
      <c r="B3" s="188" t="s">
        <v>167</v>
      </c>
      <c r="C3" s="189"/>
      <c r="D3" s="85" t="s">
        <v>549</v>
      </c>
      <c r="E3" s="3" t="s">
        <v>353</v>
      </c>
      <c r="F3" s="86" t="s">
        <v>352</v>
      </c>
      <c r="G3" s="3" t="s">
        <v>7</v>
      </c>
      <c r="H3" s="94" t="s">
        <v>546</v>
      </c>
      <c r="I3" s="3" t="s">
        <v>149</v>
      </c>
      <c r="J3" s="86"/>
      <c r="S3" s="3" t="s">
        <v>498</v>
      </c>
      <c r="T3" s="190" t="s">
        <v>581</v>
      </c>
      <c r="U3" s="190"/>
      <c r="V3" s="190"/>
      <c r="W3" s="190"/>
      <c r="X3" s="190"/>
      <c r="Y3" s="190"/>
    </row>
    <row r="4" spans="1:29">
      <c r="B4" s="188" t="s">
        <v>168</v>
      </c>
      <c r="C4" s="189"/>
      <c r="D4" s="85" t="s">
        <v>22</v>
      </c>
      <c r="E4" s="3" t="s">
        <v>497</v>
      </c>
      <c r="F4" s="170" t="s">
        <v>512</v>
      </c>
      <c r="G4" s="3" t="s">
        <v>367</v>
      </c>
      <c r="H4" s="86" t="s">
        <v>547</v>
      </c>
      <c r="I4" s="3" t="s">
        <v>150</v>
      </c>
      <c r="J4" s="86"/>
      <c r="L4" s="91"/>
      <c r="M4" s="91"/>
      <c r="N4" s="91"/>
      <c r="S4" s="3" t="s">
        <v>499</v>
      </c>
      <c r="T4" s="187" t="s">
        <v>501</v>
      </c>
      <c r="U4" s="187"/>
      <c r="V4" s="187"/>
      <c r="W4" s="187"/>
      <c r="X4" s="187"/>
      <c r="Y4" s="187"/>
    </row>
    <row r="5" spans="1:29" ht="20" customHeight="1">
      <c r="B5" s="188" t="s">
        <v>379</v>
      </c>
      <c r="C5" s="189"/>
      <c r="D5" s="86" t="s">
        <v>579</v>
      </c>
      <c r="E5" s="3" t="s">
        <v>383</v>
      </c>
      <c r="F5" s="87">
        <v>5.7</v>
      </c>
      <c r="G5" s="193" t="s">
        <v>351</v>
      </c>
      <c r="H5" s="194"/>
      <c r="I5" s="194"/>
      <c r="J5" s="194"/>
      <c r="L5" s="82"/>
      <c r="M5" s="82"/>
      <c r="N5" s="82"/>
      <c r="S5" s="193" t="s">
        <v>500</v>
      </c>
      <c r="T5" s="191" t="s">
        <v>502</v>
      </c>
      <c r="U5" s="192"/>
      <c r="V5" s="192"/>
      <c r="W5" s="192"/>
      <c r="X5" s="192"/>
      <c r="Y5" s="192"/>
    </row>
    <row r="6" spans="1:29" ht="20" customHeight="1">
      <c r="B6" s="188" t="s">
        <v>380</v>
      </c>
      <c r="C6" s="189"/>
      <c r="D6" s="88" t="s">
        <v>564</v>
      </c>
      <c r="E6" s="3" t="s">
        <v>384</v>
      </c>
      <c r="F6" s="88" t="s">
        <v>567</v>
      </c>
      <c r="G6" s="193"/>
      <c r="H6" s="194"/>
      <c r="I6" s="194"/>
      <c r="J6" s="194"/>
      <c r="L6" s="82"/>
      <c r="M6" s="82"/>
      <c r="N6" s="82"/>
      <c r="S6" s="193"/>
      <c r="T6" s="192"/>
      <c r="U6" s="192"/>
      <c r="V6" s="192"/>
      <c r="W6" s="192"/>
      <c r="X6" s="192"/>
      <c r="Y6" s="192"/>
    </row>
    <row r="7" spans="1:29" ht="20" customHeight="1">
      <c r="B7" s="188" t="s">
        <v>381</v>
      </c>
      <c r="C7" s="189"/>
      <c r="D7" s="88" t="s">
        <v>545</v>
      </c>
      <c r="E7" s="3" t="s">
        <v>385</v>
      </c>
      <c r="F7" s="88" t="s">
        <v>349</v>
      </c>
      <c r="G7" s="193"/>
      <c r="H7" s="194"/>
      <c r="I7" s="194"/>
      <c r="J7" s="194"/>
      <c r="L7" s="82"/>
      <c r="M7" s="82"/>
      <c r="N7" s="82"/>
      <c r="S7" s="193"/>
      <c r="T7" s="192"/>
      <c r="U7" s="192"/>
      <c r="V7" s="192"/>
      <c r="W7" s="192"/>
      <c r="X7" s="192"/>
      <c r="Y7" s="192"/>
    </row>
    <row r="8" spans="1:29" ht="21" customHeight="1">
      <c r="B8" s="188" t="s">
        <v>382</v>
      </c>
      <c r="C8" s="189"/>
      <c r="D8" s="184" t="s">
        <v>550</v>
      </c>
      <c r="E8" s="185"/>
      <c r="F8" s="186"/>
      <c r="G8" s="193"/>
      <c r="H8" s="194"/>
      <c r="I8" s="194"/>
      <c r="J8" s="194"/>
      <c r="L8" s="82"/>
      <c r="M8" s="82"/>
      <c r="N8" s="82"/>
      <c r="S8" s="193"/>
      <c r="T8" s="192"/>
      <c r="U8" s="192"/>
      <c r="V8" s="192"/>
      <c r="W8" s="192"/>
      <c r="X8" s="192"/>
      <c r="Y8" s="192"/>
    </row>
    <row r="9" spans="1:29">
      <c r="J9" s="95"/>
      <c r="L9" s="91"/>
      <c r="M9" s="91"/>
      <c r="N9" s="91"/>
      <c r="S9" s="83" t="s">
        <v>452</v>
      </c>
    </row>
    <row r="10" spans="1:29">
      <c r="B10" s="83" t="s">
        <v>152</v>
      </c>
      <c r="H10" s="96" t="s">
        <v>392</v>
      </c>
      <c r="I10" s="96" t="s">
        <v>391</v>
      </c>
      <c r="J10" s="96" t="s">
        <v>391</v>
      </c>
      <c r="K10" s="96" t="s">
        <v>391</v>
      </c>
      <c r="L10" s="96" t="s">
        <v>391</v>
      </c>
      <c r="M10" s="96" t="s">
        <v>391</v>
      </c>
      <c r="Q10" s="96" t="s">
        <v>395</v>
      </c>
      <c r="S10" s="182" t="s">
        <v>414</v>
      </c>
      <c r="T10" s="183"/>
      <c r="U10" s="183"/>
      <c r="V10" s="183"/>
      <c r="W10" s="183"/>
      <c r="X10" s="183"/>
      <c r="Y10" s="183"/>
      <c r="AC10" s="2" t="s">
        <v>503</v>
      </c>
    </row>
    <row r="11" spans="1:29" s="84" customFormat="1" ht="51">
      <c r="B11" s="92" t="s">
        <v>6</v>
      </c>
      <c r="C11" s="93" t="s">
        <v>386</v>
      </c>
      <c r="D11" s="93" t="s">
        <v>387</v>
      </c>
      <c r="E11" s="93" t="s">
        <v>388</v>
      </c>
      <c r="F11" s="93" t="s">
        <v>389</v>
      </c>
      <c r="G11" s="163" t="s">
        <v>372</v>
      </c>
      <c r="H11" s="164" t="s">
        <v>486</v>
      </c>
      <c r="I11" s="165" t="s">
        <v>487</v>
      </c>
      <c r="J11" s="165" t="s">
        <v>373</v>
      </c>
      <c r="K11" s="165" t="s">
        <v>488</v>
      </c>
      <c r="L11" s="166" t="s">
        <v>484</v>
      </c>
      <c r="M11" s="166" t="s">
        <v>485</v>
      </c>
      <c r="N11" s="167" t="s">
        <v>448</v>
      </c>
      <c r="O11" s="167" t="s">
        <v>449</v>
      </c>
      <c r="P11" s="167" t="s">
        <v>450</v>
      </c>
      <c r="Q11" s="166" t="s">
        <v>394</v>
      </c>
      <c r="S11" s="101" t="s">
        <v>580</v>
      </c>
      <c r="T11" s="102"/>
      <c r="U11" s="102"/>
      <c r="V11" s="102"/>
      <c r="W11" s="102"/>
      <c r="X11" s="102"/>
      <c r="Y11" s="103"/>
    </row>
    <row r="12" spans="1:29">
      <c r="B12" s="80">
        <v>1</v>
      </c>
      <c r="C12" s="65" t="s">
        <v>356</v>
      </c>
      <c r="D12" s="65" t="s">
        <v>552</v>
      </c>
      <c r="E12" s="65" t="s">
        <v>16</v>
      </c>
      <c r="F12" s="65" t="s">
        <v>562</v>
      </c>
      <c r="G12" s="176">
        <v>1</v>
      </c>
      <c r="H12" s="176"/>
      <c r="I12" s="176"/>
      <c r="J12" s="176"/>
      <c r="K12" s="176"/>
      <c r="L12" s="176"/>
      <c r="M12" s="176"/>
      <c r="N12" s="176"/>
      <c r="O12" s="176"/>
      <c r="P12" s="176"/>
      <c r="Q12" s="162"/>
      <c r="S12" s="104" t="s">
        <v>568</v>
      </c>
      <c r="T12" s="105"/>
      <c r="U12" s="105"/>
      <c r="V12" s="105"/>
      <c r="W12" s="105"/>
      <c r="X12" s="105"/>
      <c r="Y12" s="106"/>
    </row>
    <row r="13" spans="1:29">
      <c r="B13" s="80">
        <v>2</v>
      </c>
      <c r="C13" s="65" t="s">
        <v>558</v>
      </c>
      <c r="D13" s="65" t="s">
        <v>554</v>
      </c>
      <c r="E13" s="65" t="s">
        <v>41</v>
      </c>
      <c r="F13" s="65" t="s">
        <v>360</v>
      </c>
      <c r="G13" s="176"/>
      <c r="H13" s="176">
        <v>50</v>
      </c>
      <c r="I13" s="176"/>
      <c r="J13" s="176"/>
      <c r="K13" s="176"/>
      <c r="L13" s="176"/>
      <c r="M13" s="176"/>
      <c r="N13" s="176"/>
      <c r="O13" s="176"/>
      <c r="P13" s="176"/>
      <c r="Q13" s="162"/>
      <c r="S13" s="104" t="s">
        <v>569</v>
      </c>
      <c r="T13" s="105"/>
      <c r="U13" s="105"/>
      <c r="V13" s="105"/>
      <c r="W13" s="105"/>
      <c r="X13" s="105"/>
      <c r="Y13" s="106"/>
    </row>
    <row r="14" spans="1:29">
      <c r="B14" s="80">
        <v>3</v>
      </c>
      <c r="C14" s="65" t="s">
        <v>559</v>
      </c>
      <c r="D14" s="65" t="s">
        <v>555</v>
      </c>
      <c r="E14" s="65" t="s">
        <v>41</v>
      </c>
      <c r="F14" s="65" t="s">
        <v>360</v>
      </c>
      <c r="G14" s="176"/>
      <c r="H14" s="176">
        <v>50</v>
      </c>
      <c r="I14" s="176"/>
      <c r="J14" s="176"/>
      <c r="K14" s="176"/>
      <c r="L14" s="176"/>
      <c r="M14" s="176"/>
      <c r="N14" s="176"/>
      <c r="O14" s="176"/>
      <c r="P14" s="176"/>
      <c r="Q14" s="162"/>
      <c r="S14" s="104" t="s">
        <v>570</v>
      </c>
      <c r="T14" s="105"/>
      <c r="U14" s="105"/>
      <c r="V14" s="105"/>
      <c r="W14" s="105"/>
      <c r="X14" s="105"/>
      <c r="Y14" s="106"/>
    </row>
    <row r="15" spans="1:29">
      <c r="B15" s="80">
        <v>4</v>
      </c>
      <c r="C15" s="65" t="s">
        <v>560</v>
      </c>
      <c r="D15" s="65" t="s">
        <v>556</v>
      </c>
      <c r="E15" s="65" t="s">
        <v>41</v>
      </c>
      <c r="F15" s="65" t="s">
        <v>360</v>
      </c>
      <c r="G15" s="176"/>
      <c r="H15" s="176">
        <v>255</v>
      </c>
      <c r="I15" s="176"/>
      <c r="J15" s="176"/>
      <c r="K15" s="176"/>
      <c r="L15" s="176"/>
      <c r="M15" s="176"/>
      <c r="N15" s="176"/>
      <c r="O15" s="176"/>
      <c r="P15" s="176"/>
      <c r="Q15" s="162"/>
      <c r="S15" s="104" t="s">
        <v>571</v>
      </c>
      <c r="T15" s="105"/>
      <c r="U15" s="105"/>
      <c r="V15" s="105"/>
      <c r="W15" s="105"/>
      <c r="X15" s="105"/>
      <c r="Y15" s="106"/>
    </row>
    <row r="16" spans="1:29">
      <c r="B16" s="80">
        <v>5</v>
      </c>
      <c r="C16" s="65" t="s">
        <v>561</v>
      </c>
      <c r="D16" s="65" t="s">
        <v>557</v>
      </c>
      <c r="E16" s="65" t="s">
        <v>41</v>
      </c>
      <c r="F16" s="65" t="s">
        <v>360</v>
      </c>
      <c r="G16" s="176"/>
      <c r="H16" s="176">
        <v>255</v>
      </c>
      <c r="I16" s="176"/>
      <c r="J16" s="176"/>
      <c r="K16" s="176"/>
      <c r="L16" s="176"/>
      <c r="M16" s="176"/>
      <c r="N16" s="176"/>
      <c r="O16" s="176"/>
      <c r="P16" s="176"/>
      <c r="Q16" s="162"/>
      <c r="S16" s="104" t="s">
        <v>572</v>
      </c>
      <c r="T16" s="105"/>
      <c r="U16" s="105"/>
      <c r="V16" s="105"/>
      <c r="W16" s="105"/>
      <c r="X16" s="105"/>
      <c r="Y16" s="106"/>
    </row>
    <row r="17" spans="2:25">
      <c r="B17" s="80">
        <v>6</v>
      </c>
      <c r="C17" s="65" t="s">
        <v>563</v>
      </c>
      <c r="D17" s="65" t="s">
        <v>587</v>
      </c>
      <c r="E17" s="65" t="s">
        <v>16</v>
      </c>
      <c r="F17" s="65" t="s">
        <v>566</v>
      </c>
      <c r="G17" s="176"/>
      <c r="H17" s="176">
        <v>1</v>
      </c>
      <c r="I17" s="176"/>
      <c r="J17" s="176"/>
      <c r="K17" s="176">
        <v>0</v>
      </c>
      <c r="L17" s="176"/>
      <c r="M17" s="176"/>
      <c r="N17" s="176"/>
      <c r="O17" s="176"/>
      <c r="P17" s="176"/>
      <c r="Q17" s="162"/>
      <c r="S17" s="104" t="s">
        <v>573</v>
      </c>
      <c r="T17" s="105"/>
      <c r="U17" s="105"/>
      <c r="V17" s="105"/>
      <c r="W17" s="105"/>
      <c r="X17" s="105"/>
      <c r="Y17" s="106"/>
    </row>
    <row r="18" spans="2:25">
      <c r="B18" s="80"/>
      <c r="C18" s="65"/>
      <c r="D18" s="65"/>
      <c r="E18" s="65"/>
      <c r="F18" s="65"/>
      <c r="G18" s="176"/>
      <c r="H18" s="176"/>
      <c r="I18" s="176"/>
      <c r="J18" s="176"/>
      <c r="K18" s="176"/>
      <c r="L18" s="176"/>
      <c r="M18" s="176"/>
      <c r="N18" s="176"/>
      <c r="O18" s="176"/>
      <c r="P18" s="176"/>
      <c r="Q18" s="162"/>
      <c r="S18" s="104" t="s">
        <v>574</v>
      </c>
      <c r="T18" s="105"/>
      <c r="U18" s="105"/>
      <c r="V18" s="105"/>
      <c r="W18" s="105"/>
      <c r="X18" s="105"/>
      <c r="Y18" s="106"/>
    </row>
    <row r="19" spans="2:25">
      <c r="B19" s="80"/>
      <c r="C19" s="65"/>
      <c r="D19" s="65"/>
      <c r="E19" s="65"/>
      <c r="F19" s="65"/>
      <c r="G19" s="176"/>
      <c r="H19" s="176"/>
      <c r="I19" s="176"/>
      <c r="J19" s="176"/>
      <c r="K19" s="176"/>
      <c r="L19" s="176"/>
      <c r="M19" s="176"/>
      <c r="N19" s="176"/>
      <c r="O19" s="176"/>
      <c r="P19" s="176"/>
      <c r="Q19" s="162"/>
      <c r="S19" s="104" t="s">
        <v>575</v>
      </c>
      <c r="T19" s="105"/>
      <c r="U19" s="105"/>
      <c r="V19" s="105"/>
      <c r="W19" s="105"/>
      <c r="X19" s="105"/>
      <c r="Y19" s="106"/>
    </row>
    <row r="20" spans="2:25">
      <c r="B20" s="80"/>
      <c r="C20" s="65"/>
      <c r="D20" s="65"/>
      <c r="E20" s="65"/>
      <c r="F20" s="65"/>
      <c r="G20" s="176"/>
      <c r="H20" s="176"/>
      <c r="I20" s="176"/>
      <c r="J20" s="176"/>
      <c r="K20" s="176"/>
      <c r="L20" s="176"/>
      <c r="M20" s="176"/>
      <c r="N20" s="176"/>
      <c r="O20" s="176"/>
      <c r="P20" s="176"/>
      <c r="Q20" s="162"/>
      <c r="S20" s="104" t="s">
        <v>513</v>
      </c>
      <c r="T20" s="105"/>
      <c r="U20" s="105"/>
      <c r="V20" s="105"/>
      <c r="W20" s="105"/>
      <c r="X20" s="105"/>
      <c r="Y20" s="106"/>
    </row>
    <row r="21" spans="2:25">
      <c r="B21" s="80"/>
      <c r="C21" s="65"/>
      <c r="D21" s="65"/>
      <c r="E21" s="65"/>
      <c r="F21" s="65"/>
      <c r="G21" s="176"/>
      <c r="H21" s="176"/>
      <c r="I21" s="176"/>
      <c r="J21" s="176"/>
      <c r="K21" s="176"/>
      <c r="L21" s="176"/>
      <c r="M21" s="176"/>
      <c r="N21" s="176"/>
      <c r="O21" s="176"/>
      <c r="P21" s="176"/>
      <c r="Q21" s="162"/>
      <c r="S21" s="104" t="s">
        <v>514</v>
      </c>
      <c r="T21" s="105"/>
      <c r="U21" s="105"/>
      <c r="V21" s="105"/>
      <c r="W21" s="105"/>
      <c r="X21" s="105"/>
      <c r="Y21" s="106"/>
    </row>
    <row r="22" spans="2:25">
      <c r="B22" s="80"/>
      <c r="C22" s="65"/>
      <c r="D22" s="65"/>
      <c r="E22" s="65"/>
      <c r="F22" s="65"/>
      <c r="G22" s="176"/>
      <c r="H22" s="176"/>
      <c r="I22" s="176"/>
      <c r="J22" s="176"/>
      <c r="K22" s="176"/>
      <c r="L22" s="176"/>
      <c r="M22" s="176"/>
      <c r="N22" s="176"/>
      <c r="O22" s="176"/>
      <c r="P22" s="176"/>
      <c r="Q22" s="162"/>
      <c r="S22" s="104" t="s">
        <v>576</v>
      </c>
      <c r="T22" s="105"/>
      <c r="U22" s="105"/>
      <c r="V22" s="105"/>
      <c r="W22" s="105"/>
      <c r="X22" s="105"/>
      <c r="Y22" s="106"/>
    </row>
    <row r="23" spans="2:25">
      <c r="B23" s="80"/>
      <c r="C23" s="65"/>
      <c r="D23" s="65"/>
      <c r="E23" s="65"/>
      <c r="F23" s="65"/>
      <c r="G23" s="176"/>
      <c r="H23" s="176"/>
      <c r="I23" s="176"/>
      <c r="J23" s="176"/>
      <c r="K23" s="176"/>
      <c r="L23" s="176"/>
      <c r="M23" s="176"/>
      <c r="N23" s="176"/>
      <c r="O23" s="176"/>
      <c r="P23" s="176"/>
      <c r="Q23" s="162"/>
      <c r="S23" s="104" t="s">
        <v>577</v>
      </c>
      <c r="T23" s="105"/>
      <c r="U23" s="105"/>
      <c r="V23" s="105"/>
      <c r="W23" s="105"/>
      <c r="X23" s="105"/>
      <c r="Y23" s="106"/>
    </row>
    <row r="24" spans="2:25">
      <c r="B24" s="80"/>
      <c r="C24" s="65"/>
      <c r="D24" s="65"/>
      <c r="E24" s="65"/>
      <c r="F24" s="65"/>
      <c r="G24" s="176"/>
      <c r="H24" s="176"/>
      <c r="I24" s="176"/>
      <c r="J24" s="176"/>
      <c r="K24" s="176"/>
      <c r="L24" s="176"/>
      <c r="M24" s="176"/>
      <c r="N24" s="176"/>
      <c r="O24" s="176"/>
      <c r="P24" s="176"/>
      <c r="Q24" s="162"/>
      <c r="S24" s="104" t="s">
        <v>515</v>
      </c>
      <c r="T24" s="105"/>
      <c r="U24" s="105"/>
      <c r="V24" s="105"/>
      <c r="W24" s="105"/>
      <c r="X24" s="105"/>
      <c r="Y24" s="106"/>
    </row>
    <row r="25" spans="2:25">
      <c r="B25" s="80"/>
      <c r="C25" s="65"/>
      <c r="D25" s="65"/>
      <c r="E25" s="65"/>
      <c r="F25" s="65"/>
      <c r="G25" s="176"/>
      <c r="H25" s="176"/>
      <c r="I25" s="176"/>
      <c r="J25" s="176"/>
      <c r="K25" s="176"/>
      <c r="L25" s="176"/>
      <c r="M25" s="176"/>
      <c r="N25" s="176"/>
      <c r="O25" s="176"/>
      <c r="P25" s="176"/>
      <c r="Q25" s="162"/>
      <c r="S25" s="104"/>
      <c r="T25" s="105"/>
      <c r="U25" s="105"/>
      <c r="V25" s="105"/>
      <c r="W25" s="105"/>
      <c r="X25" s="105"/>
      <c r="Y25" s="106"/>
    </row>
    <row r="26" spans="2:25">
      <c r="B26" s="80"/>
      <c r="C26" s="65"/>
      <c r="D26" s="65"/>
      <c r="E26" s="65"/>
      <c r="F26" s="65"/>
      <c r="G26" s="176"/>
      <c r="H26" s="176"/>
      <c r="I26" s="176"/>
      <c r="J26" s="176"/>
      <c r="K26" s="176"/>
      <c r="L26" s="176"/>
      <c r="M26" s="176"/>
      <c r="N26" s="176"/>
      <c r="O26" s="176"/>
      <c r="P26" s="176"/>
      <c r="Q26" s="162"/>
      <c r="S26" s="104"/>
      <c r="T26" s="105"/>
      <c r="U26" s="105"/>
      <c r="V26" s="105"/>
      <c r="W26" s="105"/>
      <c r="X26" s="105"/>
      <c r="Y26" s="106"/>
    </row>
    <row r="27" spans="2:25">
      <c r="B27" s="80"/>
      <c r="C27" s="65"/>
      <c r="D27" s="65"/>
      <c r="E27" s="65"/>
      <c r="F27" s="65"/>
      <c r="G27" s="176"/>
      <c r="H27" s="176"/>
      <c r="I27" s="176"/>
      <c r="J27" s="176"/>
      <c r="K27" s="176"/>
      <c r="L27" s="176"/>
      <c r="M27" s="176"/>
      <c r="N27" s="176"/>
      <c r="O27" s="176"/>
      <c r="P27" s="176"/>
      <c r="Q27" s="162"/>
      <c r="S27" s="104"/>
      <c r="T27" s="105"/>
      <c r="U27" s="105"/>
      <c r="V27" s="105"/>
      <c r="W27" s="105"/>
      <c r="X27" s="105"/>
      <c r="Y27" s="106"/>
    </row>
    <row r="28" spans="2:25">
      <c r="B28" s="80"/>
      <c r="C28" s="65"/>
      <c r="D28" s="65"/>
      <c r="E28" s="65"/>
      <c r="F28" s="65"/>
      <c r="G28" s="176"/>
      <c r="H28" s="176"/>
      <c r="I28" s="176"/>
      <c r="J28" s="176"/>
      <c r="K28" s="176"/>
      <c r="L28" s="176"/>
      <c r="M28" s="176"/>
      <c r="N28" s="176"/>
      <c r="O28" s="176"/>
      <c r="P28" s="176"/>
      <c r="Q28" s="162"/>
      <c r="S28" s="104"/>
      <c r="T28" s="105"/>
      <c r="U28" s="105"/>
      <c r="V28" s="105"/>
      <c r="W28" s="105"/>
      <c r="X28" s="105"/>
      <c r="Y28" s="106"/>
    </row>
    <row r="29" spans="2:25">
      <c r="B29" s="80"/>
      <c r="C29" s="65"/>
      <c r="D29" s="65"/>
      <c r="E29" s="65"/>
      <c r="F29" s="65"/>
      <c r="G29" s="176"/>
      <c r="H29" s="176"/>
      <c r="I29" s="176"/>
      <c r="J29" s="176"/>
      <c r="K29" s="176"/>
      <c r="L29" s="176"/>
      <c r="M29" s="176"/>
      <c r="N29" s="176"/>
      <c r="O29" s="176"/>
      <c r="P29" s="176"/>
      <c r="Q29" s="162"/>
      <c r="S29" s="104"/>
      <c r="T29" s="105"/>
      <c r="U29" s="105"/>
      <c r="V29" s="105"/>
      <c r="W29" s="105"/>
      <c r="X29" s="105"/>
      <c r="Y29" s="106"/>
    </row>
    <row r="30" spans="2:25">
      <c r="B30" s="80"/>
      <c r="C30" s="65"/>
      <c r="D30" s="65"/>
      <c r="E30" s="65"/>
      <c r="F30" s="65"/>
      <c r="G30" s="176"/>
      <c r="H30" s="176"/>
      <c r="I30" s="176"/>
      <c r="J30" s="176"/>
      <c r="K30" s="176"/>
      <c r="L30" s="176"/>
      <c r="M30" s="176"/>
      <c r="N30" s="176"/>
      <c r="O30" s="176"/>
      <c r="P30" s="176"/>
      <c r="Q30" s="162"/>
      <c r="S30" s="104"/>
      <c r="T30" s="105"/>
      <c r="U30" s="105"/>
      <c r="V30" s="105"/>
      <c r="W30" s="105"/>
      <c r="X30" s="105"/>
      <c r="Y30" s="106"/>
    </row>
    <row r="31" spans="2:25">
      <c r="B31" s="80"/>
      <c r="C31" s="65"/>
      <c r="D31" s="65"/>
      <c r="E31" s="65"/>
      <c r="F31" s="65"/>
      <c r="G31" s="176"/>
      <c r="H31" s="176"/>
      <c r="I31" s="176"/>
      <c r="J31" s="176"/>
      <c r="K31" s="176"/>
      <c r="L31" s="176"/>
      <c r="M31" s="176"/>
      <c r="N31" s="176"/>
      <c r="O31" s="176"/>
      <c r="P31" s="176"/>
      <c r="Q31" s="162"/>
      <c r="S31" s="104"/>
      <c r="T31" s="105"/>
      <c r="U31" s="105"/>
      <c r="V31" s="105"/>
      <c r="W31" s="105"/>
      <c r="X31" s="105"/>
      <c r="Y31" s="106"/>
    </row>
    <row r="32" spans="2:25">
      <c r="B32" s="80"/>
      <c r="C32" s="65"/>
      <c r="D32" s="65"/>
      <c r="E32" s="65"/>
      <c r="F32" s="65"/>
      <c r="G32" s="176"/>
      <c r="H32" s="176"/>
      <c r="I32" s="176"/>
      <c r="J32" s="176"/>
      <c r="K32" s="176"/>
      <c r="L32" s="176"/>
      <c r="M32" s="176"/>
      <c r="N32" s="176"/>
      <c r="O32" s="176"/>
      <c r="P32" s="176"/>
      <c r="Q32" s="162"/>
      <c r="S32" s="104"/>
      <c r="T32" s="105"/>
      <c r="U32" s="105"/>
      <c r="V32" s="105"/>
      <c r="W32" s="105"/>
      <c r="X32" s="105"/>
      <c r="Y32" s="106"/>
    </row>
    <row r="33" spans="2:25">
      <c r="B33" s="80"/>
      <c r="C33" s="65"/>
      <c r="D33" s="65"/>
      <c r="E33" s="65"/>
      <c r="F33" s="65"/>
      <c r="G33" s="176"/>
      <c r="H33" s="176"/>
      <c r="I33" s="176"/>
      <c r="J33" s="176"/>
      <c r="K33" s="176"/>
      <c r="L33" s="176"/>
      <c r="M33" s="176"/>
      <c r="N33" s="176"/>
      <c r="O33" s="176"/>
      <c r="P33" s="176"/>
      <c r="Q33" s="162"/>
      <c r="S33" s="104"/>
      <c r="T33" s="105"/>
      <c r="U33" s="105"/>
      <c r="V33" s="105"/>
      <c r="W33" s="105"/>
      <c r="X33" s="105"/>
      <c r="Y33" s="106"/>
    </row>
    <row r="34" spans="2:25">
      <c r="B34" s="80"/>
      <c r="C34" s="65"/>
      <c r="D34" s="65"/>
      <c r="E34" s="65"/>
      <c r="F34" s="65"/>
      <c r="G34" s="176"/>
      <c r="H34" s="176"/>
      <c r="I34" s="176"/>
      <c r="J34" s="176"/>
      <c r="K34" s="176"/>
      <c r="L34" s="176"/>
      <c r="M34" s="176"/>
      <c r="N34" s="176"/>
      <c r="O34" s="176"/>
      <c r="P34" s="176"/>
      <c r="Q34" s="162"/>
      <c r="S34" s="104"/>
      <c r="T34" s="105"/>
      <c r="U34" s="105"/>
      <c r="V34" s="105"/>
      <c r="W34" s="105"/>
      <c r="X34" s="105"/>
      <c r="Y34" s="106"/>
    </row>
    <row r="35" spans="2:25">
      <c r="B35" s="80"/>
      <c r="C35" s="65"/>
      <c r="D35" s="65"/>
      <c r="E35" s="65"/>
      <c r="F35" s="65"/>
      <c r="G35" s="176"/>
      <c r="H35" s="176"/>
      <c r="I35" s="176"/>
      <c r="J35" s="176"/>
      <c r="K35" s="176"/>
      <c r="L35" s="176"/>
      <c r="M35" s="176"/>
      <c r="N35" s="176"/>
      <c r="O35" s="176"/>
      <c r="P35" s="176"/>
      <c r="Q35" s="162"/>
      <c r="S35" s="104"/>
      <c r="T35" s="105"/>
      <c r="U35" s="105"/>
      <c r="V35" s="105"/>
      <c r="W35" s="105"/>
      <c r="X35" s="105"/>
      <c r="Y35" s="106"/>
    </row>
    <row r="36" spans="2:25">
      <c r="B36" s="80"/>
      <c r="C36" s="65"/>
      <c r="D36" s="65"/>
      <c r="E36" s="65"/>
      <c r="F36" s="65"/>
      <c r="G36" s="176"/>
      <c r="H36" s="176"/>
      <c r="I36" s="176"/>
      <c r="J36" s="176"/>
      <c r="K36" s="176"/>
      <c r="L36" s="176"/>
      <c r="M36" s="176"/>
      <c r="N36" s="176"/>
      <c r="O36" s="176"/>
      <c r="P36" s="176"/>
      <c r="Q36" s="162"/>
      <c r="S36" s="104"/>
      <c r="T36" s="105"/>
      <c r="U36" s="105"/>
      <c r="V36" s="105"/>
      <c r="W36" s="105"/>
      <c r="X36" s="105"/>
      <c r="Y36" s="106"/>
    </row>
    <row r="37" spans="2:25">
      <c r="B37" s="80"/>
      <c r="C37" s="65"/>
      <c r="D37" s="65"/>
      <c r="E37" s="65"/>
      <c r="F37" s="65"/>
      <c r="G37" s="176"/>
      <c r="H37" s="176"/>
      <c r="I37" s="176"/>
      <c r="J37" s="176"/>
      <c r="K37" s="176"/>
      <c r="L37" s="176"/>
      <c r="M37" s="176"/>
      <c r="N37" s="176"/>
      <c r="O37" s="176"/>
      <c r="P37" s="176"/>
      <c r="Q37" s="162"/>
      <c r="S37" s="104"/>
      <c r="T37" s="105"/>
      <c r="U37" s="105"/>
      <c r="V37" s="105"/>
      <c r="W37" s="105"/>
      <c r="X37" s="105"/>
      <c r="Y37" s="106"/>
    </row>
    <row r="38" spans="2:25">
      <c r="B38" s="80"/>
      <c r="C38" s="65"/>
      <c r="D38" s="65"/>
      <c r="E38" s="65"/>
      <c r="F38" s="65"/>
      <c r="G38" s="176"/>
      <c r="H38" s="176"/>
      <c r="I38" s="176"/>
      <c r="J38" s="176"/>
      <c r="K38" s="176"/>
      <c r="L38" s="176"/>
      <c r="M38" s="176"/>
      <c r="N38" s="176"/>
      <c r="O38" s="176"/>
      <c r="P38" s="176"/>
      <c r="Q38" s="162"/>
      <c r="S38" s="104"/>
      <c r="T38" s="105"/>
      <c r="U38" s="105"/>
      <c r="V38" s="105"/>
      <c r="W38" s="105"/>
      <c r="X38" s="105"/>
      <c r="Y38" s="106"/>
    </row>
    <row r="39" spans="2:25">
      <c r="B39" s="80"/>
      <c r="C39" s="65"/>
      <c r="D39" s="65"/>
      <c r="E39" s="65"/>
      <c r="F39" s="65"/>
      <c r="G39" s="176"/>
      <c r="H39" s="176"/>
      <c r="I39" s="176"/>
      <c r="J39" s="176"/>
      <c r="K39" s="176"/>
      <c r="L39" s="176"/>
      <c r="M39" s="176"/>
      <c r="N39" s="176"/>
      <c r="O39" s="176"/>
      <c r="P39" s="176"/>
      <c r="Q39" s="162"/>
      <c r="S39" s="104"/>
      <c r="T39" s="105"/>
      <c r="U39" s="105"/>
      <c r="V39" s="105"/>
      <c r="W39" s="105"/>
      <c r="X39" s="105"/>
      <c r="Y39" s="106"/>
    </row>
    <row r="40" spans="2:25">
      <c r="B40" s="80"/>
      <c r="C40" s="65"/>
      <c r="D40" s="65"/>
      <c r="E40" s="65"/>
      <c r="F40" s="65"/>
      <c r="G40" s="176"/>
      <c r="H40" s="176"/>
      <c r="I40" s="176"/>
      <c r="J40" s="176"/>
      <c r="K40" s="176"/>
      <c r="L40" s="176"/>
      <c r="M40" s="176"/>
      <c r="N40" s="176"/>
      <c r="O40" s="176"/>
      <c r="P40" s="176"/>
      <c r="Q40" s="162"/>
      <c r="S40" s="104"/>
      <c r="T40" s="105"/>
      <c r="U40" s="105"/>
      <c r="V40" s="105"/>
      <c r="W40" s="105"/>
      <c r="X40" s="105"/>
      <c r="Y40" s="106"/>
    </row>
    <row r="41" spans="2:25">
      <c r="B41" s="80"/>
      <c r="C41" s="65"/>
      <c r="D41" s="65"/>
      <c r="E41" s="65"/>
      <c r="F41" s="65"/>
      <c r="G41" s="176"/>
      <c r="H41" s="176"/>
      <c r="I41" s="176"/>
      <c r="J41" s="176"/>
      <c r="K41" s="176"/>
      <c r="L41" s="176"/>
      <c r="M41" s="176"/>
      <c r="N41" s="176"/>
      <c r="O41" s="176"/>
      <c r="P41" s="176"/>
      <c r="Q41" s="162"/>
      <c r="S41" s="104"/>
      <c r="T41" s="105"/>
      <c r="U41" s="105"/>
      <c r="V41" s="105"/>
      <c r="W41" s="105"/>
      <c r="X41" s="105"/>
      <c r="Y41" s="106"/>
    </row>
    <row r="42" spans="2:25">
      <c r="B42" s="80"/>
      <c r="C42" s="65"/>
      <c r="D42" s="65"/>
      <c r="E42" s="65"/>
      <c r="F42" s="65"/>
      <c r="G42" s="176"/>
      <c r="H42" s="176"/>
      <c r="I42" s="176"/>
      <c r="J42" s="176"/>
      <c r="K42" s="176"/>
      <c r="L42" s="176"/>
      <c r="M42" s="176"/>
      <c r="N42" s="176"/>
      <c r="O42" s="176"/>
      <c r="P42" s="176"/>
      <c r="Q42" s="162"/>
      <c r="S42" s="104"/>
      <c r="T42" s="105"/>
      <c r="U42" s="105"/>
      <c r="V42" s="105"/>
      <c r="W42" s="105"/>
      <c r="X42" s="105"/>
      <c r="Y42" s="106"/>
    </row>
    <row r="43" spans="2:25">
      <c r="B43" s="80"/>
      <c r="C43" s="65"/>
      <c r="D43" s="65"/>
      <c r="E43" s="65"/>
      <c r="F43" s="65"/>
      <c r="G43" s="176"/>
      <c r="H43" s="176"/>
      <c r="I43" s="176"/>
      <c r="J43" s="176"/>
      <c r="K43" s="176"/>
      <c r="L43" s="176"/>
      <c r="M43" s="176"/>
      <c r="N43" s="176"/>
      <c r="O43" s="176"/>
      <c r="P43" s="176"/>
      <c r="Q43" s="162"/>
      <c r="S43" s="104"/>
      <c r="T43" s="105"/>
      <c r="U43" s="105"/>
      <c r="V43" s="105"/>
      <c r="W43" s="105"/>
      <c r="X43" s="105"/>
      <c r="Y43" s="106"/>
    </row>
    <row r="44" spans="2:25">
      <c r="B44" s="80"/>
      <c r="C44" s="65"/>
      <c r="D44" s="65"/>
      <c r="E44" s="65"/>
      <c r="F44" s="65"/>
      <c r="G44" s="176"/>
      <c r="H44" s="176"/>
      <c r="I44" s="176"/>
      <c r="J44" s="176"/>
      <c r="K44" s="176"/>
      <c r="L44" s="176"/>
      <c r="M44" s="176"/>
      <c r="N44" s="176"/>
      <c r="O44" s="176"/>
      <c r="P44" s="176"/>
      <c r="Q44" s="162"/>
      <c r="S44" s="104"/>
      <c r="T44" s="105"/>
      <c r="U44" s="105"/>
      <c r="V44" s="105"/>
      <c r="W44" s="105"/>
      <c r="X44" s="105"/>
      <c r="Y44" s="106"/>
    </row>
    <row r="45" spans="2:25">
      <c r="B45" s="80"/>
      <c r="C45" s="65"/>
      <c r="D45" s="65"/>
      <c r="E45" s="65"/>
      <c r="F45" s="65"/>
      <c r="G45" s="176"/>
      <c r="H45" s="176"/>
      <c r="I45" s="176"/>
      <c r="J45" s="176"/>
      <c r="K45" s="176"/>
      <c r="L45" s="176"/>
      <c r="M45" s="176"/>
      <c r="N45" s="176"/>
      <c r="O45" s="176"/>
      <c r="P45" s="176"/>
      <c r="Q45" s="162"/>
      <c r="S45" s="104"/>
      <c r="T45" s="105"/>
      <c r="U45" s="105"/>
      <c r="V45" s="105"/>
      <c r="W45" s="105"/>
      <c r="X45" s="105"/>
      <c r="Y45" s="106"/>
    </row>
    <row r="46" spans="2:25">
      <c r="B46" s="80"/>
      <c r="C46" s="65"/>
      <c r="D46" s="65"/>
      <c r="E46" s="65"/>
      <c r="F46" s="65"/>
      <c r="G46" s="176"/>
      <c r="H46" s="176"/>
      <c r="I46" s="176"/>
      <c r="J46" s="176"/>
      <c r="K46" s="176"/>
      <c r="L46" s="176"/>
      <c r="M46" s="176"/>
      <c r="N46" s="176"/>
      <c r="O46" s="176"/>
      <c r="P46" s="176"/>
      <c r="Q46" s="162"/>
      <c r="S46" s="104"/>
      <c r="T46" s="105"/>
      <c r="U46" s="105"/>
      <c r="V46" s="105"/>
      <c r="W46" s="105"/>
      <c r="X46" s="105"/>
      <c r="Y46" s="106"/>
    </row>
    <row r="47" spans="2:25">
      <c r="B47" s="80"/>
      <c r="C47" s="65"/>
      <c r="D47" s="65"/>
      <c r="E47" s="65"/>
      <c r="F47" s="65"/>
      <c r="G47" s="176"/>
      <c r="H47" s="176"/>
      <c r="I47" s="176"/>
      <c r="J47" s="176"/>
      <c r="K47" s="176"/>
      <c r="L47" s="176"/>
      <c r="M47" s="176"/>
      <c r="N47" s="176"/>
      <c r="O47" s="176"/>
      <c r="P47" s="176"/>
      <c r="Q47" s="162"/>
      <c r="S47" s="104"/>
      <c r="T47" s="105"/>
      <c r="U47" s="105"/>
      <c r="V47" s="105"/>
      <c r="W47" s="105"/>
      <c r="X47" s="105"/>
      <c r="Y47" s="106"/>
    </row>
    <row r="48" spans="2:25">
      <c r="B48" s="80"/>
      <c r="C48" s="65"/>
      <c r="D48" s="65"/>
      <c r="E48" s="65"/>
      <c r="F48" s="65"/>
      <c r="G48" s="176"/>
      <c r="H48" s="176"/>
      <c r="I48" s="176"/>
      <c r="J48" s="176"/>
      <c r="K48" s="176"/>
      <c r="L48" s="176"/>
      <c r="M48" s="176"/>
      <c r="N48" s="176"/>
      <c r="O48" s="176"/>
      <c r="P48" s="176"/>
      <c r="Q48" s="162"/>
      <c r="S48" s="104"/>
      <c r="T48" s="105"/>
      <c r="U48" s="105"/>
      <c r="V48" s="105"/>
      <c r="W48" s="105"/>
      <c r="X48" s="105"/>
      <c r="Y48" s="106"/>
    </row>
    <row r="49" spans="2:25">
      <c r="B49" s="80"/>
      <c r="C49" s="65"/>
      <c r="D49" s="65"/>
      <c r="E49" s="65"/>
      <c r="F49" s="65"/>
      <c r="G49" s="176"/>
      <c r="H49" s="176"/>
      <c r="I49" s="176"/>
      <c r="J49" s="176"/>
      <c r="K49" s="176"/>
      <c r="L49" s="176"/>
      <c r="M49" s="176"/>
      <c r="N49" s="176"/>
      <c r="O49" s="176"/>
      <c r="P49" s="176"/>
      <c r="Q49" s="162"/>
      <c r="S49" s="104"/>
      <c r="T49" s="105"/>
      <c r="U49" s="105"/>
      <c r="V49" s="105"/>
      <c r="W49" s="105"/>
      <c r="X49" s="105"/>
      <c r="Y49" s="106"/>
    </row>
    <row r="50" spans="2:25">
      <c r="B50" s="80"/>
      <c r="C50" s="65"/>
      <c r="D50" s="65"/>
      <c r="E50" s="65"/>
      <c r="F50" s="65"/>
      <c r="G50" s="176"/>
      <c r="H50" s="176"/>
      <c r="I50" s="176"/>
      <c r="J50" s="176"/>
      <c r="K50" s="176"/>
      <c r="L50" s="176"/>
      <c r="M50" s="176"/>
      <c r="N50" s="176"/>
      <c r="O50" s="176"/>
      <c r="P50" s="176"/>
      <c r="Q50" s="162"/>
      <c r="S50" s="104"/>
      <c r="T50" s="105"/>
      <c r="U50" s="105"/>
      <c r="V50" s="105"/>
      <c r="W50" s="105"/>
      <c r="X50" s="105"/>
      <c r="Y50" s="106"/>
    </row>
    <row r="51" spans="2:25">
      <c r="B51" s="80"/>
      <c r="C51" s="65"/>
      <c r="D51" s="65"/>
      <c r="E51" s="65"/>
      <c r="F51" s="65"/>
      <c r="G51" s="176"/>
      <c r="H51" s="176"/>
      <c r="I51" s="176"/>
      <c r="J51" s="176"/>
      <c r="K51" s="176"/>
      <c r="L51" s="176"/>
      <c r="M51" s="176"/>
      <c r="N51" s="176"/>
      <c r="O51" s="176"/>
      <c r="P51" s="176"/>
      <c r="Q51" s="162"/>
      <c r="S51" s="104"/>
      <c r="T51" s="105"/>
      <c r="U51" s="105"/>
      <c r="V51" s="105"/>
      <c r="W51" s="105"/>
      <c r="X51" s="105"/>
      <c r="Y51" s="106"/>
    </row>
    <row r="52" spans="2:25">
      <c r="B52" s="80"/>
      <c r="C52" s="65"/>
      <c r="D52" s="65"/>
      <c r="E52" s="65"/>
      <c r="F52" s="65"/>
      <c r="G52" s="176"/>
      <c r="H52" s="176"/>
      <c r="I52" s="176"/>
      <c r="J52" s="176"/>
      <c r="K52" s="176"/>
      <c r="L52" s="176"/>
      <c r="M52" s="176"/>
      <c r="N52" s="176"/>
      <c r="O52" s="176"/>
      <c r="P52" s="176"/>
      <c r="Q52" s="162"/>
      <c r="S52" s="104"/>
      <c r="T52" s="105"/>
      <c r="U52" s="105"/>
      <c r="V52" s="105"/>
      <c r="W52" s="105"/>
      <c r="X52" s="105"/>
      <c r="Y52" s="106"/>
    </row>
    <row r="53" spans="2:25">
      <c r="B53" s="80"/>
      <c r="C53" s="65"/>
      <c r="D53" s="65"/>
      <c r="E53" s="65"/>
      <c r="F53" s="65"/>
      <c r="G53" s="176"/>
      <c r="H53" s="176"/>
      <c r="I53" s="176"/>
      <c r="J53" s="176"/>
      <c r="K53" s="176"/>
      <c r="L53" s="176"/>
      <c r="M53" s="176"/>
      <c r="N53" s="176"/>
      <c r="O53" s="176"/>
      <c r="P53" s="176"/>
      <c r="Q53" s="162"/>
      <c r="S53" s="104"/>
      <c r="T53" s="105"/>
      <c r="U53" s="105"/>
      <c r="V53" s="105"/>
      <c r="W53" s="105"/>
      <c r="X53" s="105"/>
      <c r="Y53" s="106"/>
    </row>
    <row r="54" spans="2:25">
      <c r="B54" s="80"/>
      <c r="C54" s="65"/>
      <c r="D54" s="65"/>
      <c r="E54" s="65"/>
      <c r="F54" s="65"/>
      <c r="G54" s="176"/>
      <c r="H54" s="176"/>
      <c r="I54" s="176"/>
      <c r="J54" s="176"/>
      <c r="K54" s="176"/>
      <c r="L54" s="176"/>
      <c r="M54" s="176"/>
      <c r="N54" s="176"/>
      <c r="O54" s="176"/>
      <c r="P54" s="176"/>
      <c r="Q54" s="162"/>
      <c r="S54" s="104"/>
      <c r="T54" s="105"/>
      <c r="U54" s="105"/>
      <c r="V54" s="105"/>
      <c r="W54" s="105"/>
      <c r="X54" s="105"/>
      <c r="Y54" s="106"/>
    </row>
    <row r="55" spans="2:25">
      <c r="B55" s="80"/>
      <c r="C55" s="65"/>
      <c r="D55" s="65"/>
      <c r="E55" s="65"/>
      <c r="F55" s="65"/>
      <c r="G55" s="176"/>
      <c r="H55" s="176"/>
      <c r="I55" s="176"/>
      <c r="J55" s="176"/>
      <c r="K55" s="176"/>
      <c r="L55" s="176"/>
      <c r="M55" s="176"/>
      <c r="N55" s="176"/>
      <c r="O55" s="176"/>
      <c r="P55" s="176"/>
      <c r="Q55" s="162"/>
      <c r="S55" s="104"/>
      <c r="T55" s="105"/>
      <c r="U55" s="105"/>
      <c r="V55" s="105"/>
      <c r="W55" s="105"/>
      <c r="X55" s="105"/>
      <c r="Y55" s="106"/>
    </row>
    <row r="56" spans="2:25">
      <c r="B56" s="80"/>
      <c r="C56" s="65"/>
      <c r="D56" s="65"/>
      <c r="E56" s="65"/>
      <c r="F56" s="65"/>
      <c r="G56" s="176"/>
      <c r="H56" s="176"/>
      <c r="I56" s="176"/>
      <c r="J56" s="176"/>
      <c r="K56" s="176"/>
      <c r="L56" s="176"/>
      <c r="M56" s="176"/>
      <c r="N56" s="176"/>
      <c r="O56" s="176"/>
      <c r="P56" s="176"/>
      <c r="Q56" s="162"/>
      <c r="S56" s="104"/>
      <c r="T56" s="105"/>
      <c r="U56" s="105"/>
      <c r="V56" s="105"/>
      <c r="W56" s="105"/>
      <c r="X56" s="105"/>
      <c r="Y56" s="106"/>
    </row>
    <row r="57" spans="2:25">
      <c r="B57" s="80"/>
      <c r="C57" s="65"/>
      <c r="D57" s="65"/>
      <c r="E57" s="65"/>
      <c r="F57" s="65"/>
      <c r="G57" s="176"/>
      <c r="H57" s="176"/>
      <c r="I57" s="176"/>
      <c r="J57" s="176"/>
      <c r="K57" s="176"/>
      <c r="L57" s="176"/>
      <c r="M57" s="176"/>
      <c r="N57" s="176"/>
      <c r="O57" s="176"/>
      <c r="P57" s="176"/>
      <c r="Q57" s="162"/>
      <c r="S57" s="104"/>
      <c r="T57" s="105"/>
      <c r="U57" s="105"/>
      <c r="V57" s="105"/>
      <c r="W57" s="105"/>
      <c r="X57" s="105"/>
      <c r="Y57" s="106"/>
    </row>
    <row r="58" spans="2:25">
      <c r="B58" s="80"/>
      <c r="C58" s="65"/>
      <c r="D58" s="65"/>
      <c r="E58" s="65"/>
      <c r="F58" s="65"/>
      <c r="G58" s="176"/>
      <c r="H58" s="176"/>
      <c r="I58" s="176"/>
      <c r="J58" s="176"/>
      <c r="K58" s="176"/>
      <c r="L58" s="176"/>
      <c r="M58" s="176"/>
      <c r="N58" s="176"/>
      <c r="O58" s="176"/>
      <c r="P58" s="176"/>
      <c r="Q58" s="162"/>
      <c r="S58" s="104"/>
      <c r="T58" s="105"/>
      <c r="U58" s="105"/>
      <c r="V58" s="105"/>
      <c r="W58" s="105"/>
      <c r="X58" s="105"/>
      <c r="Y58" s="106"/>
    </row>
    <row r="59" spans="2:25">
      <c r="B59" s="80"/>
      <c r="C59" s="65"/>
      <c r="D59" s="65"/>
      <c r="E59" s="65"/>
      <c r="F59" s="65"/>
      <c r="G59" s="176"/>
      <c r="H59" s="176"/>
      <c r="I59" s="176"/>
      <c r="J59" s="176"/>
      <c r="K59" s="176"/>
      <c r="L59" s="176"/>
      <c r="M59" s="176"/>
      <c r="N59" s="176"/>
      <c r="O59" s="176"/>
      <c r="P59" s="176"/>
      <c r="Q59" s="162"/>
      <c r="S59" s="104"/>
      <c r="T59" s="105"/>
      <c r="U59" s="105"/>
      <c r="V59" s="105"/>
      <c r="W59" s="105"/>
      <c r="X59" s="105"/>
      <c r="Y59" s="106"/>
    </row>
    <row r="60" spans="2:25">
      <c r="B60" s="80"/>
      <c r="C60" s="65"/>
      <c r="D60" s="65"/>
      <c r="E60" s="65"/>
      <c r="F60" s="65"/>
      <c r="G60" s="176"/>
      <c r="H60" s="176"/>
      <c r="I60" s="176"/>
      <c r="J60" s="176"/>
      <c r="K60" s="176"/>
      <c r="L60" s="176"/>
      <c r="M60" s="176"/>
      <c r="N60" s="176"/>
      <c r="O60" s="176"/>
      <c r="P60" s="176"/>
      <c r="Q60" s="162"/>
      <c r="S60" s="104"/>
      <c r="T60" s="105"/>
      <c r="U60" s="105"/>
      <c r="V60" s="105"/>
      <c r="W60" s="105"/>
      <c r="X60" s="105"/>
      <c r="Y60" s="106"/>
    </row>
    <row r="61" spans="2:25">
      <c r="B61" s="80"/>
      <c r="C61" s="65"/>
      <c r="D61" s="65"/>
      <c r="E61" s="65"/>
      <c r="F61" s="65"/>
      <c r="G61" s="176"/>
      <c r="H61" s="176"/>
      <c r="I61" s="176"/>
      <c r="J61" s="176"/>
      <c r="K61" s="176"/>
      <c r="L61" s="176"/>
      <c r="M61" s="176"/>
      <c r="N61" s="176"/>
      <c r="O61" s="176"/>
      <c r="P61" s="176"/>
      <c r="Q61" s="162"/>
      <c r="S61" s="104"/>
      <c r="T61" s="105"/>
      <c r="U61" s="105"/>
      <c r="V61" s="105"/>
      <c r="W61" s="105"/>
      <c r="X61" s="105"/>
      <c r="Y61" s="106"/>
    </row>
    <row r="62" spans="2:25">
      <c r="S62" s="104"/>
      <c r="T62" s="105"/>
      <c r="U62" s="105"/>
      <c r="V62" s="105"/>
      <c r="W62" s="105"/>
      <c r="X62" s="105"/>
      <c r="Y62" s="106"/>
    </row>
    <row r="63" spans="2:25">
      <c r="S63" s="107"/>
      <c r="T63" s="108"/>
      <c r="U63" s="108"/>
      <c r="V63" s="108"/>
      <c r="W63" s="108"/>
      <c r="X63" s="108"/>
      <c r="Y63" s="109"/>
    </row>
  </sheetData>
  <mergeCells count="14">
    <mergeCell ref="B7:C7"/>
    <mergeCell ref="B8:C8"/>
    <mergeCell ref="D8:F8"/>
    <mergeCell ref="S10:Y10"/>
    <mergeCell ref="B3:C3"/>
    <mergeCell ref="T3:Y3"/>
    <mergeCell ref="B4:C4"/>
    <mergeCell ref="T4:Y4"/>
    <mergeCell ref="B5:C5"/>
    <mergeCell ref="G5:G8"/>
    <mergeCell ref="H5:J8"/>
    <mergeCell ref="S5:S8"/>
    <mergeCell ref="T5:Y8"/>
    <mergeCell ref="B6:C6"/>
  </mergeCells>
  <phoneticPr fontId="1"/>
  <conditionalFormatting sqref="F3:G3">
    <cfRule type="cellIs" dxfId="7" priority="2" operator="equal">
      <formula>"マスタデータ"</formula>
    </cfRule>
  </conditionalFormatting>
  <conditionalFormatting sqref="S3">
    <cfRule type="cellIs" dxfId="6" priority="1" operator="equal">
      <formula>"マスタデータ"</formula>
    </cfRule>
  </conditionalFormatting>
  <dataValidations count="16">
    <dataValidation type="list" allowBlank="1" showInputMessage="1" showErrorMessage="1" sqref="F3" xr:uid="{0AC35807-2714-C642-B307-B9163A2F82C4}">
      <formula1>"マスタデータ,トランザクションデータ"</formula1>
    </dataValidation>
    <dataValidation type="list" allowBlank="1" showInputMessage="1" showErrorMessage="1" sqref="F4" xr:uid="{89641C43-1B17-8341-898A-A84A23EBFB2C}">
      <formula1>"TEMPORARY TABLE, TABLE"</formula1>
    </dataValidation>
    <dataValidation type="list" allowBlank="1" showInputMessage="1" showErrorMessage="1" sqref="E12:E61" xr:uid="{EA0E7FBB-6B38-2648-9DBD-1610B301CE83}">
      <formula1>DataTypeCategory</formula1>
    </dataValidation>
    <dataValidation type="list" allowBlank="1" showInputMessage="1" showErrorMessage="1" prompt="型分類を選択してから、データ型を選択してください。" sqref="F12:F61" xr:uid="{EE429A2F-A6C6-7E47-A4E3-FCEF139E6533}">
      <formula1>INDIRECT($E12)</formula1>
    </dataValidation>
    <dataValidation type="list" allowBlank="1" showInputMessage="1" showErrorMessage="1" sqref="F5" xr:uid="{C0C4A93F-FF13-434D-AFCF-587571C50CBF}">
      <formula1>MySQL_Ver</formula1>
    </dataValidation>
    <dataValidation type="list" allowBlank="1" showInputMessage="1" showErrorMessage="1" sqref="F7" xr:uid="{D60AE3D4-780C-1E4B-976A-071C62F46099}">
      <formula1>Charset_List</formula1>
    </dataValidation>
    <dataValidation type="list" allowBlank="1" showInputMessage="1" showErrorMessage="1" sqref="F6" xr:uid="{4173EE80-A851-4A41-A324-980C6D6C246F}">
      <formula1>ENGINE</formula1>
    </dataValidation>
    <dataValidation type="list" allowBlank="1" showInputMessage="1" showErrorMessage="1" promptTitle="主キー（または複合主キー）の入力" prompt="主キーの場合は「1」を入力、_x000a_複合主キーの場合は 1〜5までの数字で入力してください。" sqref="G12:G61" xr:uid="{95B137A5-CE60-0348-9679-88C78C6D4AB4}">
      <formula1>"1,2,3,4,5"</formula1>
    </dataValidation>
    <dataValidation type="list" allowBlank="1" showInputMessage="1" showErrorMessage="1" sqref="J12:J61" xr:uid="{DD246ABD-FA9E-714D-83C7-8751120DEF6F}">
      <formula1>"NOT NULL"</formula1>
    </dataValidation>
    <dataValidation imeMode="halfAlpha" allowBlank="1" showInputMessage="1" showErrorMessage="1" sqref="K12:K61" xr:uid="{88AAD3AD-4EB1-6246-9272-ECE1AFEC28CC}"/>
    <dataValidation type="list" allowBlank="1" showInputMessage="1" showErrorMessage="1" sqref="L12:L61" xr:uid="{7DF005A5-FA2B-9B4C-91D4-4AB6BDCB2E94}">
      <formula1>"UNSIGNED"</formula1>
    </dataValidation>
    <dataValidation type="list" allowBlank="1" showInputMessage="1" showErrorMessage="1" sqref="M12:M61" xr:uid="{598D53B2-97C7-3241-A0F7-4894BC7B0C18}">
      <formula1>"ZEROFILL"</formula1>
    </dataValidation>
    <dataValidation type="list" allowBlank="1" showInputMessage="1" showErrorMessage="1" prompt="インデックスの指定は最大10個まで対応しています。" sqref="N12:P61" xr:uid="{45047098-51B1-DB41-AE12-3A63BDCF6B53}">
      <formula1>"1,2,3,4,5,6,7,8,9,10"</formula1>
    </dataValidation>
    <dataValidation allowBlank="1" showInputMessage="1" showErrorMessage="1" promptTitle="物理テーブル名の入力ルール" prompt="先頭4文字は、必ず「アルファベット1文字」「数字3桁」で入力してください。_x000a_例）「m001_usr_masters」_x000a_理由）出力時のシート名で利用、かつインデックスの識別子（一部）に利用します。" sqref="D6" xr:uid="{C86DACFE-973C-B141-B407-1F438140323A}"/>
    <dataValidation allowBlank="1" showInputMessage="1" showErrorMessage="1" prompt="インデックスの指定は最大10個まで対応しています。" sqref="Q12:Q61" xr:uid="{CDA21D9A-702E-1143-86D0-6516E678F782}"/>
    <dataValidation type="list" allowBlank="1" showInputMessage="1" showErrorMessage="1" sqref="G12:G61" xr:uid="{C8C26EA9-467B-EF4D-A33B-8FBF7A1A7383}">
      <formula1>"1,2,3,4,5"</formula1>
    </dataValidation>
  </dataValidation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reateSQL_ButtonClick">
                <anchor moveWithCells="1">
                  <from>
                    <xdr:col>10</xdr:col>
                    <xdr:colOff>292100</xdr:colOff>
                    <xdr:row>2</xdr:row>
                    <xdr:rowOff>0</xdr:rowOff>
                  </from>
                  <to>
                    <xdr:col>15</xdr:col>
                    <xdr:colOff>114300</xdr:colOff>
                    <xdr:row>8</xdr:row>
                    <xdr:rowOff>0</xdr:rowOff>
                  </to>
                </anchor>
              </controlPr>
            </control>
          </mc:Choice>
        </mc:AlternateContent>
        <mc:AlternateContent xmlns:mc="http://schemas.openxmlformats.org/markup-compatibility/2006">
          <mc:Choice Requires="x14">
            <control shapeId="3074" r:id="rId4" name="Button 2">
              <controlPr defaultSize="0" print="0" autoFill="0" autoPict="0" macro="[0]!CopyCreateSQL_ButtonClick">
                <anchor moveWithCells="1">
                  <from>
                    <xdr:col>25</xdr:col>
                    <xdr:colOff>292100</xdr:colOff>
                    <xdr:row>9</xdr:row>
                    <xdr:rowOff>0</xdr:rowOff>
                  </from>
                  <to>
                    <xdr:col>27</xdr:col>
                    <xdr:colOff>584200</xdr:colOff>
                    <xdr:row>11</xdr:row>
                    <xdr:rowOff>0</xdr:rowOff>
                  </to>
                </anchor>
              </controlPr>
            </control>
          </mc:Choice>
        </mc:AlternateContent>
        <mc:AlternateContent xmlns:mc="http://schemas.openxmlformats.org/markup-compatibility/2006">
          <mc:Choice Requires="x14">
            <control shapeId="3075" r:id="rId5" name="Button 3">
              <controlPr defaultSize="0" print="0" autoFill="0" autoPict="0" macro="[0]!BackInputForm_ButtonClick">
                <anchor moveWithCells="1">
                  <from>
                    <xdr:col>25</xdr:col>
                    <xdr:colOff>292100</xdr:colOff>
                    <xdr:row>4</xdr:row>
                    <xdr:rowOff>0</xdr:rowOff>
                  </from>
                  <to>
                    <xdr:col>27</xdr:col>
                    <xdr:colOff>584200</xdr:colOff>
                    <xdr:row>7</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EC89D-5A00-6541-BE9E-C35B0034C047}">
  <sheetPr codeName="Sheet10"/>
  <dimension ref="A1:AC63"/>
  <sheetViews>
    <sheetView showGridLines="0" topLeftCell="A6" zoomScale="107" workbookViewId="0">
      <selection activeCell="H31" sqref="H31"/>
    </sheetView>
  </sheetViews>
  <sheetFormatPr baseColWidth="10" defaultColWidth="11.5703125" defaultRowHeight="18"/>
  <cols>
    <col min="1" max="1" width="1.5703125" style="2" customWidth="1"/>
    <col min="2" max="2" width="4.140625" style="2" customWidth="1"/>
    <col min="3" max="3" width="17.85546875" style="58" customWidth="1"/>
    <col min="4" max="4" width="18.42578125" style="58" bestFit="1" customWidth="1"/>
    <col min="5" max="5" width="14.5703125" style="58" customWidth="1"/>
    <col min="6" max="6" width="25.85546875" style="58" bestFit="1" customWidth="1"/>
    <col min="7" max="7" width="9.7109375" style="90" bestFit="1" customWidth="1"/>
    <col min="8" max="8" width="12" style="90" bestFit="1" customWidth="1"/>
    <col min="9" max="9" width="9.5703125" style="90" bestFit="1" customWidth="1"/>
    <col min="10" max="10" width="11" style="90" customWidth="1"/>
    <col min="11" max="11" width="8.7109375" style="90" bestFit="1" customWidth="1"/>
    <col min="12" max="12" width="10.28515625" style="90" bestFit="1" customWidth="1"/>
    <col min="13" max="13" width="9.42578125" style="90" bestFit="1" customWidth="1"/>
    <col min="14" max="16" width="6.7109375" style="90" bestFit="1" customWidth="1"/>
    <col min="17" max="17" width="7.85546875" style="90" hidden="1" customWidth="1"/>
    <col min="18" max="18" width="1.7109375" style="2" customWidth="1"/>
    <col min="19" max="16384" width="11.5703125" style="2"/>
  </cols>
  <sheetData>
    <row r="1" spans="1:29" ht="25">
      <c r="A1" s="148"/>
      <c r="B1" s="98" t="str">
        <f>IF(D6&lt;&gt;"",LEFT(D6,4),"") &amp;" テーブル定義書"</f>
        <v>stor テーブル定義書</v>
      </c>
      <c r="C1" s="100"/>
      <c r="D1" s="100"/>
      <c r="E1" s="100"/>
      <c r="F1" s="100"/>
      <c r="G1" s="99"/>
      <c r="H1" s="99"/>
      <c r="I1" s="99"/>
      <c r="J1" s="99"/>
      <c r="K1" s="99"/>
      <c r="L1" s="99"/>
      <c r="M1" s="99"/>
      <c r="N1" s="99"/>
      <c r="O1" s="99"/>
      <c r="P1" s="99"/>
      <c r="Q1" s="99"/>
      <c r="R1" s="148"/>
      <c r="S1" s="98" t="s">
        <v>393</v>
      </c>
      <c r="T1" s="99"/>
      <c r="U1" s="99"/>
      <c r="V1" s="99"/>
      <c r="W1" s="99"/>
      <c r="X1" s="99"/>
      <c r="Y1" s="99"/>
    </row>
    <row r="2" spans="1:29" ht="24" customHeight="1">
      <c r="B2" s="149" t="s">
        <v>376</v>
      </c>
      <c r="C2" s="67"/>
      <c r="D2" s="67"/>
      <c r="E2" s="67"/>
      <c r="F2" s="67"/>
      <c r="H2" s="89"/>
      <c r="J2" s="97" t="s">
        <v>390</v>
      </c>
      <c r="S2" s="83" t="s">
        <v>451</v>
      </c>
    </row>
    <row r="3" spans="1:29">
      <c r="B3" s="188" t="s">
        <v>167</v>
      </c>
      <c r="C3" s="189"/>
      <c r="D3" s="85" t="s">
        <v>548</v>
      </c>
      <c r="E3" s="3" t="s">
        <v>353</v>
      </c>
      <c r="F3" s="86" t="s">
        <v>352</v>
      </c>
      <c r="G3" s="3" t="s">
        <v>7</v>
      </c>
      <c r="H3" s="94" t="s">
        <v>546</v>
      </c>
      <c r="I3" s="3" t="s">
        <v>149</v>
      </c>
      <c r="J3" s="86" t="s">
        <v>655</v>
      </c>
      <c r="S3" s="3" t="s">
        <v>498</v>
      </c>
      <c r="T3" s="190" t="s">
        <v>654</v>
      </c>
      <c r="U3" s="190"/>
      <c r="V3" s="190"/>
      <c r="W3" s="190"/>
      <c r="X3" s="190"/>
      <c r="Y3" s="190"/>
    </row>
    <row r="4" spans="1:29">
      <c r="B4" s="188" t="s">
        <v>168</v>
      </c>
      <c r="C4" s="189"/>
      <c r="D4" s="85" t="s">
        <v>455</v>
      </c>
      <c r="E4" s="3" t="s">
        <v>497</v>
      </c>
      <c r="F4" s="170" t="s">
        <v>512</v>
      </c>
      <c r="G4" s="3" t="s">
        <v>367</v>
      </c>
      <c r="H4" s="86" t="s">
        <v>547</v>
      </c>
      <c r="I4" s="3" t="s">
        <v>150</v>
      </c>
      <c r="J4" s="86"/>
      <c r="L4" s="91"/>
      <c r="M4" s="91"/>
      <c r="N4" s="91"/>
      <c r="S4" s="3" t="s">
        <v>499</v>
      </c>
      <c r="T4" s="187" t="s">
        <v>501</v>
      </c>
      <c r="U4" s="187"/>
      <c r="V4" s="187"/>
      <c r="W4" s="187"/>
      <c r="X4" s="187"/>
      <c r="Y4" s="187"/>
    </row>
    <row r="5" spans="1:29" ht="20" customHeight="1">
      <c r="B5" s="188" t="s">
        <v>379</v>
      </c>
      <c r="C5" s="189"/>
      <c r="D5" s="86" t="s">
        <v>578</v>
      </c>
      <c r="E5" s="3" t="s">
        <v>383</v>
      </c>
      <c r="F5" s="87">
        <v>5.7</v>
      </c>
      <c r="G5" s="193" t="s">
        <v>351</v>
      </c>
      <c r="H5" s="194"/>
      <c r="I5" s="194"/>
      <c r="J5" s="194"/>
      <c r="L5" s="82"/>
      <c r="M5" s="82"/>
      <c r="N5" s="82"/>
      <c r="S5" s="193" t="s">
        <v>500</v>
      </c>
      <c r="T5" s="191" t="s">
        <v>502</v>
      </c>
      <c r="U5" s="192"/>
      <c r="V5" s="192"/>
      <c r="W5" s="192"/>
      <c r="X5" s="192"/>
      <c r="Y5" s="192"/>
    </row>
    <row r="6" spans="1:29" ht="20" customHeight="1">
      <c r="B6" s="188" t="s">
        <v>380</v>
      </c>
      <c r="C6" s="189"/>
      <c r="D6" s="88" t="s">
        <v>582</v>
      </c>
      <c r="E6" s="3" t="s">
        <v>384</v>
      </c>
      <c r="F6" s="88" t="s">
        <v>567</v>
      </c>
      <c r="G6" s="193"/>
      <c r="H6" s="194"/>
      <c r="I6" s="194"/>
      <c r="J6" s="194"/>
      <c r="L6" s="82"/>
      <c r="M6" s="82"/>
      <c r="N6" s="82"/>
      <c r="S6" s="193"/>
      <c r="T6" s="192"/>
      <c r="U6" s="192"/>
      <c r="V6" s="192"/>
      <c r="W6" s="192"/>
      <c r="X6" s="192"/>
      <c r="Y6" s="192"/>
    </row>
    <row r="7" spans="1:29" ht="20" customHeight="1">
      <c r="B7" s="188" t="s">
        <v>381</v>
      </c>
      <c r="C7" s="189"/>
      <c r="D7" s="88" t="s">
        <v>583</v>
      </c>
      <c r="E7" s="3" t="s">
        <v>385</v>
      </c>
      <c r="F7" s="88" t="s">
        <v>349</v>
      </c>
      <c r="G7" s="193"/>
      <c r="H7" s="194"/>
      <c r="I7" s="194"/>
      <c r="J7" s="194"/>
      <c r="L7" s="82"/>
      <c r="M7" s="82"/>
      <c r="N7" s="82"/>
      <c r="S7" s="193"/>
      <c r="T7" s="192"/>
      <c r="U7" s="192"/>
      <c r="V7" s="192"/>
      <c r="W7" s="192"/>
      <c r="X7" s="192"/>
      <c r="Y7" s="192"/>
    </row>
    <row r="8" spans="1:29" ht="21" customHeight="1">
      <c r="B8" s="188" t="s">
        <v>382</v>
      </c>
      <c r="C8" s="189"/>
      <c r="D8" s="184" t="s">
        <v>584</v>
      </c>
      <c r="E8" s="185"/>
      <c r="F8" s="186"/>
      <c r="G8" s="193"/>
      <c r="H8" s="194"/>
      <c r="I8" s="194"/>
      <c r="J8" s="194"/>
      <c r="L8" s="82"/>
      <c r="M8" s="82"/>
      <c r="N8" s="82"/>
      <c r="S8" s="193"/>
      <c r="T8" s="192"/>
      <c r="U8" s="192"/>
      <c r="V8" s="192"/>
      <c r="W8" s="192"/>
      <c r="X8" s="192"/>
      <c r="Y8" s="192"/>
    </row>
    <row r="9" spans="1:29">
      <c r="J9" s="95"/>
      <c r="L9" s="91"/>
      <c r="M9" s="91"/>
      <c r="N9" s="91"/>
      <c r="S9" s="83" t="s">
        <v>452</v>
      </c>
    </row>
    <row r="10" spans="1:29">
      <c r="B10" s="83" t="s">
        <v>152</v>
      </c>
      <c r="H10" s="96" t="s">
        <v>392</v>
      </c>
      <c r="I10" s="96" t="s">
        <v>391</v>
      </c>
      <c r="J10" s="96" t="s">
        <v>391</v>
      </c>
      <c r="K10" s="96" t="s">
        <v>391</v>
      </c>
      <c r="L10" s="96" t="s">
        <v>391</v>
      </c>
      <c r="M10" s="96" t="s">
        <v>391</v>
      </c>
      <c r="Q10" s="96" t="s">
        <v>395</v>
      </c>
      <c r="S10" s="182" t="s">
        <v>414</v>
      </c>
      <c r="T10" s="183"/>
      <c r="U10" s="183"/>
      <c r="V10" s="183"/>
      <c r="W10" s="183"/>
      <c r="X10" s="183"/>
      <c r="Y10" s="183"/>
      <c r="AC10" s="2" t="s">
        <v>503</v>
      </c>
    </row>
    <row r="11" spans="1:29" s="84" customFormat="1" ht="51">
      <c r="B11" s="92" t="s">
        <v>6</v>
      </c>
      <c r="C11" s="93" t="s">
        <v>386</v>
      </c>
      <c r="D11" s="93" t="s">
        <v>387</v>
      </c>
      <c r="E11" s="93" t="s">
        <v>388</v>
      </c>
      <c r="F11" s="93" t="s">
        <v>389</v>
      </c>
      <c r="G11" s="163" t="s">
        <v>372</v>
      </c>
      <c r="H11" s="164" t="s">
        <v>486</v>
      </c>
      <c r="I11" s="165" t="s">
        <v>487</v>
      </c>
      <c r="J11" s="165" t="s">
        <v>373</v>
      </c>
      <c r="K11" s="165" t="s">
        <v>488</v>
      </c>
      <c r="L11" s="166" t="s">
        <v>484</v>
      </c>
      <c r="M11" s="166" t="s">
        <v>485</v>
      </c>
      <c r="N11" s="167" t="s">
        <v>448</v>
      </c>
      <c r="O11" s="167" t="s">
        <v>449</v>
      </c>
      <c r="P11" s="167" t="s">
        <v>450</v>
      </c>
      <c r="Q11" s="166" t="s">
        <v>394</v>
      </c>
      <c r="S11" s="101" t="s">
        <v>626</v>
      </c>
      <c r="T11" s="102"/>
      <c r="U11" s="102"/>
      <c r="V11" s="102"/>
      <c r="W11" s="102"/>
      <c r="X11" s="102"/>
      <c r="Y11" s="103"/>
    </row>
    <row r="12" spans="1:29">
      <c r="B12" s="80">
        <v>1</v>
      </c>
      <c r="C12" s="65" t="s">
        <v>163</v>
      </c>
      <c r="D12" s="65" t="s">
        <v>625</v>
      </c>
      <c r="E12" s="65" t="s">
        <v>16</v>
      </c>
      <c r="F12" s="65" t="s">
        <v>562</v>
      </c>
      <c r="G12" s="177">
        <v>1</v>
      </c>
      <c r="H12" s="177"/>
      <c r="I12" s="177"/>
      <c r="J12" s="177"/>
      <c r="K12" s="177"/>
      <c r="L12" s="177"/>
      <c r="M12" s="177"/>
      <c r="N12" s="177"/>
      <c r="O12" s="177"/>
      <c r="P12" s="177"/>
      <c r="Q12" s="162"/>
      <c r="S12" s="104" t="s">
        <v>627</v>
      </c>
      <c r="T12" s="105"/>
      <c r="U12" s="105"/>
      <c r="V12" s="105"/>
      <c r="W12" s="105"/>
      <c r="X12" s="105"/>
      <c r="Y12" s="106"/>
    </row>
    <row r="13" spans="1:29">
      <c r="B13" s="80">
        <v>2</v>
      </c>
      <c r="C13" s="65" t="s">
        <v>585</v>
      </c>
      <c r="D13" s="65" t="s">
        <v>586</v>
      </c>
      <c r="E13" s="65" t="s">
        <v>41</v>
      </c>
      <c r="F13" s="65" t="s">
        <v>360</v>
      </c>
      <c r="G13" s="177"/>
      <c r="H13" s="177">
        <v>255</v>
      </c>
      <c r="I13" s="177"/>
      <c r="J13" s="177" t="s">
        <v>656</v>
      </c>
      <c r="K13" s="177"/>
      <c r="L13" s="177"/>
      <c r="M13" s="177"/>
      <c r="N13" s="177"/>
      <c r="O13" s="177"/>
      <c r="P13" s="177"/>
      <c r="Q13" s="162"/>
      <c r="S13" s="104" t="s">
        <v>628</v>
      </c>
      <c r="T13" s="105"/>
      <c r="U13" s="105"/>
      <c r="V13" s="105"/>
      <c r="W13" s="105"/>
      <c r="X13" s="105"/>
      <c r="Y13" s="106"/>
    </row>
    <row r="14" spans="1:29">
      <c r="B14" s="80">
        <v>3</v>
      </c>
      <c r="C14" s="65" t="s">
        <v>603</v>
      </c>
      <c r="D14" s="65" t="s">
        <v>589</v>
      </c>
      <c r="E14" s="65" t="s">
        <v>41</v>
      </c>
      <c r="F14" s="65" t="s">
        <v>360</v>
      </c>
      <c r="G14" s="177"/>
      <c r="H14" s="177">
        <v>255</v>
      </c>
      <c r="I14" s="177"/>
      <c r="J14" s="177" t="s">
        <v>656</v>
      </c>
      <c r="K14" s="177"/>
      <c r="L14" s="177"/>
      <c r="M14" s="177"/>
      <c r="N14" s="177"/>
      <c r="O14" s="177"/>
      <c r="P14" s="177"/>
      <c r="Q14" s="162"/>
      <c r="S14" s="104" t="s">
        <v>629</v>
      </c>
      <c r="T14" s="105"/>
      <c r="U14" s="105"/>
      <c r="V14" s="105"/>
      <c r="W14" s="105"/>
      <c r="X14" s="105"/>
      <c r="Y14" s="106"/>
    </row>
    <row r="15" spans="1:29">
      <c r="B15" s="80">
        <v>4</v>
      </c>
      <c r="C15" s="65" t="s">
        <v>612</v>
      </c>
      <c r="D15" s="65" t="s">
        <v>590</v>
      </c>
      <c r="E15" s="65" t="s">
        <v>41</v>
      </c>
      <c r="F15" s="65" t="s">
        <v>360</v>
      </c>
      <c r="G15" s="177"/>
      <c r="H15" s="177">
        <v>255</v>
      </c>
      <c r="I15" s="177"/>
      <c r="J15" s="177"/>
      <c r="K15" s="177"/>
      <c r="L15" s="177"/>
      <c r="M15" s="177"/>
      <c r="N15" s="177"/>
      <c r="O15" s="177"/>
      <c r="P15" s="177"/>
      <c r="Q15" s="162"/>
      <c r="S15" s="104" t="s">
        <v>630</v>
      </c>
      <c r="T15" s="105"/>
      <c r="U15" s="105"/>
      <c r="V15" s="105"/>
      <c r="W15" s="105"/>
      <c r="X15" s="105"/>
      <c r="Y15" s="106"/>
    </row>
    <row r="16" spans="1:29">
      <c r="B16" s="80">
        <v>5</v>
      </c>
      <c r="C16" s="65" t="s">
        <v>604</v>
      </c>
      <c r="D16" s="65" t="s">
        <v>591</v>
      </c>
      <c r="E16" s="65" t="s">
        <v>41</v>
      </c>
      <c r="F16" s="65" t="s">
        <v>360</v>
      </c>
      <c r="G16" s="177"/>
      <c r="H16" s="177">
        <v>255</v>
      </c>
      <c r="I16" s="177"/>
      <c r="J16" s="177"/>
      <c r="K16" s="177"/>
      <c r="L16" s="177"/>
      <c r="M16" s="177"/>
      <c r="N16" s="177"/>
      <c r="O16" s="177"/>
      <c r="P16" s="177"/>
      <c r="Q16" s="162"/>
      <c r="S16" s="104" t="s">
        <v>631</v>
      </c>
      <c r="T16" s="105"/>
      <c r="U16" s="105"/>
      <c r="V16" s="105"/>
      <c r="W16" s="105"/>
      <c r="X16" s="105"/>
      <c r="Y16" s="106"/>
    </row>
    <row r="17" spans="2:25">
      <c r="B17" s="80">
        <v>6</v>
      </c>
      <c r="C17" s="65" t="s">
        <v>606</v>
      </c>
      <c r="D17" s="65" t="s">
        <v>592</v>
      </c>
      <c r="E17" s="65" t="s">
        <v>41</v>
      </c>
      <c r="F17" s="65" t="s">
        <v>360</v>
      </c>
      <c r="G17" s="177"/>
      <c r="H17" s="177">
        <v>255</v>
      </c>
      <c r="I17" s="177"/>
      <c r="J17" s="177" t="s">
        <v>656</v>
      </c>
      <c r="K17" s="177"/>
      <c r="L17" s="177"/>
      <c r="M17" s="177"/>
      <c r="N17" s="177"/>
      <c r="O17" s="177"/>
      <c r="P17" s="177"/>
      <c r="Q17" s="162"/>
      <c r="S17" s="104" t="s">
        <v>632</v>
      </c>
      <c r="T17" s="105"/>
      <c r="U17" s="105"/>
      <c r="V17" s="105"/>
      <c r="W17" s="105"/>
      <c r="X17" s="105"/>
      <c r="Y17" s="106"/>
    </row>
    <row r="18" spans="2:25">
      <c r="B18" s="80">
        <v>7</v>
      </c>
      <c r="C18" s="65" t="s">
        <v>613</v>
      </c>
      <c r="D18" s="65" t="s">
        <v>593</v>
      </c>
      <c r="E18" s="65" t="s">
        <v>41</v>
      </c>
      <c r="F18" s="65" t="s">
        <v>360</v>
      </c>
      <c r="G18" s="177"/>
      <c r="H18" s="177">
        <v>255</v>
      </c>
      <c r="I18" s="177"/>
      <c r="J18" s="177" t="s">
        <v>656</v>
      </c>
      <c r="K18" s="177"/>
      <c r="L18" s="177"/>
      <c r="M18" s="177"/>
      <c r="N18" s="177"/>
      <c r="O18" s="177"/>
      <c r="P18" s="177"/>
      <c r="Q18" s="162"/>
      <c r="S18" s="104" t="s">
        <v>633</v>
      </c>
      <c r="T18" s="105"/>
      <c r="U18" s="105"/>
      <c r="V18" s="105"/>
      <c r="W18" s="105"/>
      <c r="X18" s="105"/>
      <c r="Y18" s="106"/>
    </row>
    <row r="19" spans="2:25">
      <c r="B19" s="80">
        <v>8</v>
      </c>
      <c r="C19" s="65" t="s">
        <v>614</v>
      </c>
      <c r="D19" s="65" t="s">
        <v>594</v>
      </c>
      <c r="E19" s="65" t="s">
        <v>41</v>
      </c>
      <c r="F19" s="65" t="s">
        <v>360</v>
      </c>
      <c r="G19" s="177"/>
      <c r="H19" s="177">
        <v>255</v>
      </c>
      <c r="I19" s="177"/>
      <c r="J19" s="177"/>
      <c r="K19" s="177"/>
      <c r="L19" s="177"/>
      <c r="M19" s="177"/>
      <c r="N19" s="177"/>
      <c r="O19" s="177"/>
      <c r="P19" s="177"/>
      <c r="Q19" s="162"/>
      <c r="S19" s="104" t="s">
        <v>634</v>
      </c>
      <c r="T19" s="105"/>
      <c r="U19" s="105"/>
      <c r="V19" s="105"/>
      <c r="W19" s="105"/>
      <c r="X19" s="105"/>
      <c r="Y19" s="106"/>
    </row>
    <row r="20" spans="2:25">
      <c r="B20" s="80">
        <v>9</v>
      </c>
      <c r="C20" s="65" t="s">
        <v>607</v>
      </c>
      <c r="D20" s="65" t="s">
        <v>595</v>
      </c>
      <c r="E20" s="65" t="s">
        <v>41</v>
      </c>
      <c r="F20" s="65" t="s">
        <v>360</v>
      </c>
      <c r="G20" s="177"/>
      <c r="H20" s="177">
        <v>255</v>
      </c>
      <c r="I20" s="177"/>
      <c r="J20" s="177"/>
      <c r="K20" s="177"/>
      <c r="L20" s="177"/>
      <c r="M20" s="177"/>
      <c r="N20" s="177"/>
      <c r="O20" s="177"/>
      <c r="P20" s="177"/>
      <c r="Q20" s="162"/>
      <c r="S20" s="104" t="s">
        <v>635</v>
      </c>
      <c r="T20" s="105"/>
      <c r="U20" s="105"/>
      <c r="V20" s="105"/>
      <c r="W20" s="105"/>
      <c r="X20" s="105"/>
      <c r="Y20" s="106"/>
    </row>
    <row r="21" spans="2:25">
      <c r="B21" s="80">
        <v>10</v>
      </c>
      <c r="C21" s="65" t="s">
        <v>608</v>
      </c>
      <c r="D21" s="65" t="s">
        <v>596</v>
      </c>
      <c r="E21" s="65" t="s">
        <v>41</v>
      </c>
      <c r="F21" s="65" t="s">
        <v>360</v>
      </c>
      <c r="G21" s="177"/>
      <c r="H21" s="177">
        <v>255</v>
      </c>
      <c r="I21" s="177"/>
      <c r="J21" s="177"/>
      <c r="K21" s="177"/>
      <c r="L21" s="177"/>
      <c r="M21" s="177"/>
      <c r="N21" s="177"/>
      <c r="O21" s="177"/>
      <c r="P21" s="177"/>
      <c r="Q21" s="162"/>
      <c r="S21" s="104" t="s">
        <v>636</v>
      </c>
      <c r="T21" s="105"/>
      <c r="U21" s="105"/>
      <c r="V21" s="105"/>
      <c r="W21" s="105"/>
      <c r="X21" s="105"/>
      <c r="Y21" s="106"/>
    </row>
    <row r="22" spans="2:25">
      <c r="B22" s="80">
        <v>11</v>
      </c>
      <c r="C22" s="65" t="s">
        <v>615</v>
      </c>
      <c r="D22" s="65" t="s">
        <v>597</v>
      </c>
      <c r="E22" s="65" t="s">
        <v>41</v>
      </c>
      <c r="F22" s="65" t="s">
        <v>360</v>
      </c>
      <c r="G22" s="177"/>
      <c r="H22" s="177">
        <v>255</v>
      </c>
      <c r="I22" s="177"/>
      <c r="J22" s="177"/>
      <c r="K22" s="177"/>
      <c r="L22" s="177"/>
      <c r="M22" s="177"/>
      <c r="N22" s="177"/>
      <c r="O22" s="177"/>
      <c r="P22" s="177"/>
      <c r="Q22" s="162"/>
      <c r="S22" s="104" t="s">
        <v>637</v>
      </c>
      <c r="T22" s="105"/>
      <c r="U22" s="105"/>
      <c r="V22" s="105"/>
      <c r="W22" s="105"/>
      <c r="X22" s="105"/>
      <c r="Y22" s="106"/>
    </row>
    <row r="23" spans="2:25">
      <c r="B23" s="80">
        <v>12</v>
      </c>
      <c r="C23" s="65" t="s">
        <v>605</v>
      </c>
      <c r="D23" s="65" t="s">
        <v>598</v>
      </c>
      <c r="E23" s="65" t="s">
        <v>41</v>
      </c>
      <c r="F23" s="65" t="s">
        <v>360</v>
      </c>
      <c r="G23" s="177"/>
      <c r="H23" s="177">
        <v>255</v>
      </c>
      <c r="I23" s="177"/>
      <c r="J23" s="177"/>
      <c r="K23" s="177"/>
      <c r="L23" s="177"/>
      <c r="M23" s="177"/>
      <c r="N23" s="177"/>
      <c r="O23" s="177"/>
      <c r="P23" s="177"/>
      <c r="Q23" s="162"/>
      <c r="S23" s="104" t="s">
        <v>638</v>
      </c>
      <c r="T23" s="105"/>
      <c r="U23" s="105"/>
      <c r="V23" s="105"/>
      <c r="W23" s="105"/>
      <c r="X23" s="105"/>
      <c r="Y23" s="106"/>
    </row>
    <row r="24" spans="2:25">
      <c r="B24" s="80">
        <v>13</v>
      </c>
      <c r="C24" s="65" t="s">
        <v>609</v>
      </c>
      <c r="D24" s="65" t="s">
        <v>599</v>
      </c>
      <c r="E24" s="65" t="s">
        <v>41</v>
      </c>
      <c r="F24" s="65" t="s">
        <v>360</v>
      </c>
      <c r="G24" s="177"/>
      <c r="H24" s="177">
        <v>255</v>
      </c>
      <c r="I24" s="177"/>
      <c r="J24" s="177"/>
      <c r="K24" s="177"/>
      <c r="L24" s="177"/>
      <c r="M24" s="177"/>
      <c r="N24" s="177"/>
      <c r="O24" s="177"/>
      <c r="P24" s="177"/>
      <c r="Q24" s="162"/>
      <c r="S24" s="104" t="s">
        <v>639</v>
      </c>
      <c r="T24" s="105"/>
      <c r="U24" s="105"/>
      <c r="V24" s="105"/>
      <c r="W24" s="105"/>
      <c r="X24" s="105"/>
      <c r="Y24" s="106"/>
    </row>
    <row r="25" spans="2:25">
      <c r="B25" s="80">
        <v>14</v>
      </c>
      <c r="C25" s="65" t="s">
        <v>616</v>
      </c>
      <c r="D25" s="65" t="s">
        <v>600</v>
      </c>
      <c r="E25" s="65" t="s">
        <v>41</v>
      </c>
      <c r="F25" s="65" t="s">
        <v>360</v>
      </c>
      <c r="G25" s="177"/>
      <c r="H25" s="177">
        <v>255</v>
      </c>
      <c r="I25" s="177"/>
      <c r="J25" s="177"/>
      <c r="K25" s="177"/>
      <c r="L25" s="177"/>
      <c r="M25" s="177"/>
      <c r="N25" s="177"/>
      <c r="O25" s="177"/>
      <c r="P25" s="177"/>
      <c r="Q25" s="162"/>
      <c r="S25" s="104" t="s">
        <v>640</v>
      </c>
      <c r="T25" s="105"/>
      <c r="U25" s="105"/>
      <c r="V25" s="105"/>
      <c r="W25" s="105"/>
      <c r="X25" s="105"/>
      <c r="Y25" s="106"/>
    </row>
    <row r="26" spans="2:25">
      <c r="B26" s="80">
        <v>15</v>
      </c>
      <c r="C26" s="65" t="s">
        <v>617</v>
      </c>
      <c r="D26" s="65" t="s">
        <v>601</v>
      </c>
      <c r="E26" s="65" t="s">
        <v>41</v>
      </c>
      <c r="F26" s="65" t="s">
        <v>360</v>
      </c>
      <c r="G26" s="177"/>
      <c r="H26" s="177">
        <v>255</v>
      </c>
      <c r="I26" s="177"/>
      <c r="J26" s="177"/>
      <c r="K26" s="177"/>
      <c r="L26" s="177"/>
      <c r="M26" s="177"/>
      <c r="N26" s="177"/>
      <c r="O26" s="177"/>
      <c r="P26" s="177"/>
      <c r="Q26" s="162"/>
      <c r="S26" s="104" t="s">
        <v>641</v>
      </c>
      <c r="T26" s="105"/>
      <c r="U26" s="105"/>
      <c r="V26" s="105"/>
      <c r="W26" s="105"/>
      <c r="X26" s="105"/>
      <c r="Y26" s="106"/>
    </row>
    <row r="27" spans="2:25">
      <c r="B27" s="80">
        <v>16</v>
      </c>
      <c r="C27" s="65" t="s">
        <v>611</v>
      </c>
      <c r="D27" s="65" t="s">
        <v>602</v>
      </c>
      <c r="E27" s="65" t="s">
        <v>41</v>
      </c>
      <c r="F27" s="65" t="s">
        <v>360</v>
      </c>
      <c r="G27" s="177"/>
      <c r="H27" s="177">
        <v>1000</v>
      </c>
      <c r="I27" s="177"/>
      <c r="J27" s="177"/>
      <c r="K27" s="177"/>
      <c r="L27" s="177"/>
      <c r="M27" s="177"/>
      <c r="N27" s="177"/>
      <c r="O27" s="177"/>
      <c r="P27" s="177"/>
      <c r="Q27" s="162"/>
      <c r="S27" s="104" t="s">
        <v>642</v>
      </c>
      <c r="T27" s="105"/>
      <c r="U27" s="105"/>
      <c r="V27" s="105"/>
      <c r="W27" s="105"/>
      <c r="X27" s="105"/>
      <c r="Y27" s="106"/>
    </row>
    <row r="28" spans="2:25">
      <c r="B28" s="80">
        <v>17</v>
      </c>
      <c r="C28" s="65" t="s">
        <v>652</v>
      </c>
      <c r="D28" s="65" t="s">
        <v>651</v>
      </c>
      <c r="E28" s="65" t="s">
        <v>151</v>
      </c>
      <c r="F28" s="65" t="s">
        <v>32</v>
      </c>
      <c r="G28" s="177"/>
      <c r="H28" s="177"/>
      <c r="I28" s="177"/>
      <c r="J28" s="177"/>
      <c r="K28" s="177"/>
      <c r="L28" s="177"/>
      <c r="M28" s="177"/>
      <c r="N28" s="177"/>
      <c r="O28" s="177"/>
      <c r="P28" s="177"/>
      <c r="Q28" s="162"/>
      <c r="S28" s="104" t="s">
        <v>653</v>
      </c>
      <c r="T28" s="105"/>
      <c r="U28" s="105"/>
      <c r="V28" s="105"/>
      <c r="W28" s="105"/>
      <c r="X28" s="105"/>
      <c r="Y28" s="106"/>
    </row>
    <row r="29" spans="2:25">
      <c r="B29" s="80">
        <v>18</v>
      </c>
      <c r="C29" s="65" t="s">
        <v>565</v>
      </c>
      <c r="D29" s="65" t="s">
        <v>588</v>
      </c>
      <c r="E29" s="65" t="s">
        <v>16</v>
      </c>
      <c r="F29" s="65" t="s">
        <v>566</v>
      </c>
      <c r="G29" s="177"/>
      <c r="H29" s="177">
        <v>1</v>
      </c>
      <c r="I29" s="177"/>
      <c r="J29" s="177"/>
      <c r="K29" s="177">
        <v>0</v>
      </c>
      <c r="L29" s="177"/>
      <c r="M29" s="177"/>
      <c r="N29" s="177"/>
      <c r="O29" s="177"/>
      <c r="P29" s="177"/>
      <c r="Q29" s="162"/>
      <c r="S29" s="104" t="s">
        <v>643</v>
      </c>
      <c r="T29" s="105"/>
      <c r="U29" s="105"/>
      <c r="V29" s="105"/>
      <c r="W29" s="105"/>
      <c r="X29" s="105"/>
      <c r="Y29" s="106"/>
    </row>
    <row r="30" spans="2:25">
      <c r="B30" s="80">
        <v>19</v>
      </c>
      <c r="C30" s="65" t="s">
        <v>553</v>
      </c>
      <c r="D30" s="65" t="s">
        <v>551</v>
      </c>
      <c r="E30" s="65" t="s">
        <v>16</v>
      </c>
      <c r="F30" s="65" t="s">
        <v>566</v>
      </c>
      <c r="G30" s="177"/>
      <c r="H30" s="177">
        <v>50</v>
      </c>
      <c r="I30" s="177"/>
      <c r="J30" s="177"/>
      <c r="K30" s="177"/>
      <c r="L30" s="177"/>
      <c r="M30" s="177"/>
      <c r="N30" s="177"/>
      <c r="O30" s="177"/>
      <c r="P30" s="177"/>
      <c r="Q30" s="162"/>
      <c r="S30" s="104" t="s">
        <v>644</v>
      </c>
      <c r="T30" s="105"/>
      <c r="U30" s="105"/>
      <c r="V30" s="105"/>
      <c r="W30" s="105"/>
      <c r="X30" s="105"/>
      <c r="Y30" s="106"/>
    </row>
    <row r="31" spans="2:25">
      <c r="B31" s="80"/>
      <c r="C31" s="65"/>
      <c r="D31" s="65"/>
      <c r="E31" s="65"/>
      <c r="F31" s="65"/>
      <c r="G31" s="177"/>
      <c r="H31" s="177"/>
      <c r="I31" s="177"/>
      <c r="J31" s="177"/>
      <c r="K31" s="177"/>
      <c r="L31" s="177"/>
      <c r="M31" s="177"/>
      <c r="N31" s="177"/>
      <c r="O31" s="177"/>
      <c r="P31" s="177"/>
      <c r="Q31" s="162"/>
      <c r="S31" s="104" t="s">
        <v>526</v>
      </c>
      <c r="T31" s="105"/>
      <c r="U31" s="105"/>
      <c r="V31" s="105"/>
      <c r="W31" s="105"/>
      <c r="X31" s="105"/>
      <c r="Y31" s="106"/>
    </row>
    <row r="32" spans="2:25">
      <c r="B32" s="80"/>
      <c r="C32" s="65"/>
      <c r="D32" s="65"/>
      <c r="E32" s="65"/>
      <c r="F32" s="65"/>
      <c r="G32" s="177"/>
      <c r="H32" s="177"/>
      <c r="I32" s="177"/>
      <c r="J32" s="177"/>
      <c r="K32" s="177"/>
      <c r="L32" s="177"/>
      <c r="M32" s="177"/>
      <c r="N32" s="177"/>
      <c r="O32" s="177"/>
      <c r="P32" s="177"/>
      <c r="Q32" s="162"/>
      <c r="S32" s="104" t="s">
        <v>513</v>
      </c>
      <c r="T32" s="105"/>
      <c r="U32" s="105"/>
      <c r="V32" s="105"/>
      <c r="W32" s="105"/>
      <c r="X32" s="105"/>
      <c r="Y32" s="106"/>
    </row>
    <row r="33" spans="2:25">
      <c r="B33" s="80"/>
      <c r="C33" s="65"/>
      <c r="D33" s="65"/>
      <c r="E33" s="65"/>
      <c r="F33" s="65"/>
      <c r="G33" s="177"/>
      <c r="H33" s="177"/>
      <c r="I33" s="177"/>
      <c r="J33" s="177"/>
      <c r="K33" s="177"/>
      <c r="L33" s="177"/>
      <c r="M33" s="177"/>
      <c r="N33" s="177"/>
      <c r="O33" s="177"/>
      <c r="P33" s="177"/>
      <c r="Q33" s="162"/>
      <c r="S33" s="104" t="s">
        <v>514</v>
      </c>
      <c r="T33" s="105"/>
      <c r="U33" s="105"/>
      <c r="V33" s="105"/>
      <c r="W33" s="105"/>
      <c r="X33" s="105"/>
      <c r="Y33" s="106"/>
    </row>
    <row r="34" spans="2:25">
      <c r="B34" s="80"/>
      <c r="C34" s="65"/>
      <c r="D34" s="65"/>
      <c r="E34" s="65"/>
      <c r="F34" s="65"/>
      <c r="G34" s="177"/>
      <c r="H34" s="177"/>
      <c r="I34" s="177"/>
      <c r="J34" s="177"/>
      <c r="K34" s="177"/>
      <c r="L34" s="177"/>
      <c r="M34" s="177"/>
      <c r="N34" s="177"/>
      <c r="O34" s="177"/>
      <c r="P34" s="177"/>
      <c r="Q34" s="162"/>
      <c r="S34" s="104" t="s">
        <v>528</v>
      </c>
      <c r="T34" s="105"/>
      <c r="U34" s="105"/>
      <c r="V34" s="105"/>
      <c r="W34" s="105"/>
      <c r="X34" s="105"/>
      <c r="Y34" s="106"/>
    </row>
    <row r="35" spans="2:25">
      <c r="B35" s="80"/>
      <c r="C35" s="65"/>
      <c r="D35" s="65"/>
      <c r="E35" s="65"/>
      <c r="F35" s="65"/>
      <c r="G35" s="177"/>
      <c r="H35" s="177"/>
      <c r="I35" s="177"/>
      <c r="J35" s="177"/>
      <c r="K35" s="177"/>
      <c r="L35" s="177"/>
      <c r="M35" s="177"/>
      <c r="N35" s="177"/>
      <c r="O35" s="177"/>
      <c r="P35" s="177"/>
      <c r="Q35" s="162"/>
      <c r="S35" s="104" t="s">
        <v>645</v>
      </c>
      <c r="T35" s="105"/>
      <c r="U35" s="105"/>
      <c r="V35" s="105"/>
      <c r="W35" s="105"/>
      <c r="X35" s="105"/>
      <c r="Y35" s="106"/>
    </row>
    <row r="36" spans="2:25">
      <c r="B36" s="80"/>
      <c r="C36" s="65"/>
      <c r="D36" s="65"/>
      <c r="E36" s="65"/>
      <c r="F36" s="65"/>
      <c r="G36" s="177"/>
      <c r="H36" s="177"/>
      <c r="I36" s="177"/>
      <c r="J36" s="177"/>
      <c r="K36" s="177"/>
      <c r="L36" s="177"/>
      <c r="M36" s="177"/>
      <c r="N36" s="177"/>
      <c r="O36" s="177"/>
      <c r="P36" s="177"/>
      <c r="Q36" s="162"/>
      <c r="S36" s="104" t="s">
        <v>515</v>
      </c>
      <c r="T36" s="105"/>
      <c r="U36" s="105"/>
      <c r="V36" s="105"/>
      <c r="W36" s="105"/>
      <c r="X36" s="105"/>
      <c r="Y36" s="106"/>
    </row>
    <row r="37" spans="2:25">
      <c r="B37" s="80"/>
      <c r="C37" s="65"/>
      <c r="D37" s="65"/>
      <c r="E37" s="65"/>
      <c r="F37" s="65"/>
      <c r="G37" s="177"/>
      <c r="H37" s="177"/>
      <c r="I37" s="177"/>
      <c r="J37" s="177"/>
      <c r="K37" s="177"/>
      <c r="L37" s="177"/>
      <c r="M37" s="177"/>
      <c r="N37" s="177"/>
      <c r="O37" s="177"/>
      <c r="P37" s="177"/>
      <c r="Q37" s="162"/>
      <c r="S37" s="104"/>
      <c r="T37" s="105"/>
      <c r="U37" s="105"/>
      <c r="V37" s="105"/>
      <c r="W37" s="105"/>
      <c r="X37" s="105"/>
      <c r="Y37" s="106"/>
    </row>
    <row r="38" spans="2:25">
      <c r="B38" s="80"/>
      <c r="C38" s="65"/>
      <c r="D38" s="65"/>
      <c r="E38" s="65"/>
      <c r="F38" s="65"/>
      <c r="G38" s="177"/>
      <c r="H38" s="177"/>
      <c r="I38" s="177"/>
      <c r="J38" s="177"/>
      <c r="K38" s="177"/>
      <c r="L38" s="177"/>
      <c r="M38" s="177"/>
      <c r="N38" s="177"/>
      <c r="O38" s="177"/>
      <c r="P38" s="177"/>
      <c r="Q38" s="162"/>
      <c r="S38" s="104"/>
      <c r="T38" s="105"/>
      <c r="U38" s="105"/>
      <c r="V38" s="105"/>
      <c r="W38" s="105"/>
      <c r="X38" s="105"/>
      <c r="Y38" s="106"/>
    </row>
    <row r="39" spans="2:25">
      <c r="B39" s="80"/>
      <c r="C39" s="65"/>
      <c r="D39" s="65"/>
      <c r="E39" s="65"/>
      <c r="F39" s="65"/>
      <c r="G39" s="177"/>
      <c r="H39" s="177"/>
      <c r="I39" s="177"/>
      <c r="J39" s="177"/>
      <c r="K39" s="177"/>
      <c r="L39" s="177"/>
      <c r="M39" s="177"/>
      <c r="N39" s="177"/>
      <c r="O39" s="177"/>
      <c r="P39" s="177"/>
      <c r="Q39" s="162"/>
      <c r="S39" s="104"/>
      <c r="T39" s="105"/>
      <c r="U39" s="105"/>
      <c r="V39" s="105"/>
      <c r="W39" s="105"/>
      <c r="X39" s="105"/>
      <c r="Y39" s="106"/>
    </row>
    <row r="40" spans="2:25">
      <c r="B40" s="80"/>
      <c r="C40" s="65"/>
      <c r="D40" s="65"/>
      <c r="E40" s="65"/>
      <c r="F40" s="65"/>
      <c r="G40" s="177"/>
      <c r="H40" s="177"/>
      <c r="I40" s="177"/>
      <c r="J40" s="177"/>
      <c r="K40" s="177"/>
      <c r="L40" s="177"/>
      <c r="M40" s="177"/>
      <c r="N40" s="177"/>
      <c r="O40" s="177"/>
      <c r="P40" s="177"/>
      <c r="Q40" s="162"/>
      <c r="S40" s="104"/>
      <c r="T40" s="105"/>
      <c r="U40" s="105"/>
      <c r="V40" s="105"/>
      <c r="W40" s="105"/>
      <c r="X40" s="105"/>
      <c r="Y40" s="106"/>
    </row>
    <row r="41" spans="2:25">
      <c r="B41" s="80"/>
      <c r="C41" s="65"/>
      <c r="D41" s="65"/>
      <c r="E41" s="65"/>
      <c r="F41" s="65"/>
      <c r="G41" s="177"/>
      <c r="H41" s="177"/>
      <c r="I41" s="177"/>
      <c r="J41" s="177"/>
      <c r="K41" s="177"/>
      <c r="L41" s="177"/>
      <c r="M41" s="177"/>
      <c r="N41" s="177"/>
      <c r="O41" s="177"/>
      <c r="P41" s="177"/>
      <c r="Q41" s="162"/>
      <c r="S41" s="104"/>
      <c r="T41" s="105"/>
      <c r="U41" s="105"/>
      <c r="V41" s="105"/>
      <c r="W41" s="105"/>
      <c r="X41" s="105"/>
      <c r="Y41" s="106"/>
    </row>
    <row r="42" spans="2:25">
      <c r="B42" s="80"/>
      <c r="C42" s="65"/>
      <c r="D42" s="65"/>
      <c r="E42" s="65"/>
      <c r="F42" s="65"/>
      <c r="G42" s="177"/>
      <c r="H42" s="177"/>
      <c r="I42" s="177"/>
      <c r="J42" s="177"/>
      <c r="K42" s="177"/>
      <c r="L42" s="177"/>
      <c r="M42" s="177"/>
      <c r="N42" s="177"/>
      <c r="O42" s="177"/>
      <c r="P42" s="177"/>
      <c r="Q42" s="162"/>
      <c r="S42" s="104"/>
      <c r="T42" s="105"/>
      <c r="U42" s="105"/>
      <c r="V42" s="105"/>
      <c r="W42" s="105"/>
      <c r="X42" s="105"/>
      <c r="Y42" s="106"/>
    </row>
    <row r="43" spans="2:25">
      <c r="B43" s="80"/>
      <c r="C43" s="65"/>
      <c r="D43" s="65"/>
      <c r="E43" s="65"/>
      <c r="F43" s="65"/>
      <c r="G43" s="177"/>
      <c r="H43" s="177"/>
      <c r="I43" s="177"/>
      <c r="J43" s="177"/>
      <c r="K43" s="177"/>
      <c r="L43" s="177"/>
      <c r="M43" s="177"/>
      <c r="N43" s="177"/>
      <c r="O43" s="177"/>
      <c r="P43" s="177"/>
      <c r="Q43" s="162"/>
      <c r="S43" s="104"/>
      <c r="T43" s="105"/>
      <c r="U43" s="105"/>
      <c r="V43" s="105"/>
      <c r="W43" s="105"/>
      <c r="X43" s="105"/>
      <c r="Y43" s="106"/>
    </row>
    <row r="44" spans="2:25">
      <c r="B44" s="80"/>
      <c r="C44" s="65"/>
      <c r="D44" s="65"/>
      <c r="E44" s="65"/>
      <c r="F44" s="65"/>
      <c r="G44" s="177"/>
      <c r="H44" s="177"/>
      <c r="I44" s="177"/>
      <c r="J44" s="177"/>
      <c r="K44" s="177"/>
      <c r="L44" s="177"/>
      <c r="M44" s="177"/>
      <c r="N44" s="177"/>
      <c r="O44" s="177"/>
      <c r="P44" s="177"/>
      <c r="Q44" s="162"/>
      <c r="S44" s="104"/>
      <c r="T44" s="105"/>
      <c r="U44" s="105"/>
      <c r="V44" s="105"/>
      <c r="W44" s="105"/>
      <c r="X44" s="105"/>
      <c r="Y44" s="106"/>
    </row>
    <row r="45" spans="2:25">
      <c r="B45" s="80"/>
      <c r="C45" s="65"/>
      <c r="D45" s="65"/>
      <c r="E45" s="65"/>
      <c r="F45" s="65"/>
      <c r="G45" s="177"/>
      <c r="H45" s="177"/>
      <c r="I45" s="177"/>
      <c r="J45" s="177"/>
      <c r="K45" s="177"/>
      <c r="L45" s="177"/>
      <c r="M45" s="177"/>
      <c r="N45" s="177"/>
      <c r="O45" s="177"/>
      <c r="P45" s="177"/>
      <c r="Q45" s="162"/>
      <c r="S45" s="104"/>
      <c r="T45" s="105"/>
      <c r="U45" s="105"/>
      <c r="V45" s="105"/>
      <c r="W45" s="105"/>
      <c r="X45" s="105"/>
      <c r="Y45" s="106"/>
    </row>
    <row r="46" spans="2:25">
      <c r="B46" s="80"/>
      <c r="C46" s="65"/>
      <c r="D46" s="65"/>
      <c r="E46" s="65"/>
      <c r="F46" s="65"/>
      <c r="G46" s="177"/>
      <c r="H46" s="177"/>
      <c r="I46" s="177"/>
      <c r="J46" s="177"/>
      <c r="K46" s="177"/>
      <c r="L46" s="177"/>
      <c r="M46" s="177"/>
      <c r="N46" s="177"/>
      <c r="O46" s="177"/>
      <c r="P46" s="177"/>
      <c r="Q46" s="162"/>
      <c r="S46" s="104"/>
      <c r="T46" s="105"/>
      <c r="U46" s="105"/>
      <c r="V46" s="105"/>
      <c r="W46" s="105"/>
      <c r="X46" s="105"/>
      <c r="Y46" s="106"/>
    </row>
    <row r="47" spans="2:25">
      <c r="B47" s="80"/>
      <c r="C47" s="65"/>
      <c r="D47" s="65"/>
      <c r="E47" s="65"/>
      <c r="F47" s="65"/>
      <c r="G47" s="177"/>
      <c r="H47" s="177"/>
      <c r="I47" s="177"/>
      <c r="J47" s="177"/>
      <c r="K47" s="177"/>
      <c r="L47" s="177"/>
      <c r="M47" s="177"/>
      <c r="N47" s="177"/>
      <c r="O47" s="177"/>
      <c r="P47" s="177"/>
      <c r="Q47" s="162"/>
      <c r="S47" s="104"/>
      <c r="T47" s="105"/>
      <c r="U47" s="105"/>
      <c r="V47" s="105"/>
      <c r="W47" s="105"/>
      <c r="X47" s="105"/>
      <c r="Y47" s="106"/>
    </row>
    <row r="48" spans="2:25">
      <c r="B48" s="80"/>
      <c r="C48" s="65"/>
      <c r="D48" s="65"/>
      <c r="E48" s="65"/>
      <c r="F48" s="65"/>
      <c r="G48" s="177"/>
      <c r="H48" s="177"/>
      <c r="I48" s="177"/>
      <c r="J48" s="177"/>
      <c r="K48" s="177"/>
      <c r="L48" s="177"/>
      <c r="M48" s="177"/>
      <c r="N48" s="177"/>
      <c r="O48" s="177"/>
      <c r="P48" s="177"/>
      <c r="Q48" s="162"/>
      <c r="S48" s="104"/>
      <c r="T48" s="105"/>
      <c r="U48" s="105"/>
      <c r="V48" s="105"/>
      <c r="W48" s="105"/>
      <c r="X48" s="105"/>
      <c r="Y48" s="106"/>
    </row>
    <row r="49" spans="2:25">
      <c r="B49" s="80"/>
      <c r="C49" s="65"/>
      <c r="D49" s="65"/>
      <c r="E49" s="65"/>
      <c r="F49" s="65"/>
      <c r="G49" s="177"/>
      <c r="H49" s="177"/>
      <c r="I49" s="177"/>
      <c r="J49" s="177"/>
      <c r="K49" s="177"/>
      <c r="L49" s="177"/>
      <c r="M49" s="177"/>
      <c r="N49" s="177"/>
      <c r="O49" s="177"/>
      <c r="P49" s="177"/>
      <c r="Q49" s="162"/>
      <c r="S49" s="104"/>
      <c r="T49" s="105"/>
      <c r="U49" s="105"/>
      <c r="V49" s="105"/>
      <c r="W49" s="105"/>
      <c r="X49" s="105"/>
      <c r="Y49" s="106"/>
    </row>
    <row r="50" spans="2:25">
      <c r="B50" s="80"/>
      <c r="C50" s="65"/>
      <c r="D50" s="65"/>
      <c r="E50" s="65"/>
      <c r="F50" s="65"/>
      <c r="G50" s="177"/>
      <c r="H50" s="177"/>
      <c r="I50" s="177"/>
      <c r="J50" s="177"/>
      <c r="K50" s="177"/>
      <c r="L50" s="177"/>
      <c r="M50" s="177"/>
      <c r="N50" s="177"/>
      <c r="O50" s="177"/>
      <c r="P50" s="177"/>
      <c r="Q50" s="162"/>
      <c r="S50" s="104"/>
      <c r="T50" s="105"/>
      <c r="U50" s="105"/>
      <c r="V50" s="105"/>
      <c r="W50" s="105"/>
      <c r="X50" s="105"/>
      <c r="Y50" s="106"/>
    </row>
    <row r="51" spans="2:25">
      <c r="B51" s="80"/>
      <c r="C51" s="65"/>
      <c r="D51" s="65"/>
      <c r="E51" s="65"/>
      <c r="F51" s="65"/>
      <c r="G51" s="177"/>
      <c r="H51" s="177"/>
      <c r="I51" s="177"/>
      <c r="J51" s="177"/>
      <c r="K51" s="177"/>
      <c r="L51" s="177"/>
      <c r="M51" s="177"/>
      <c r="N51" s="177"/>
      <c r="O51" s="177"/>
      <c r="P51" s="177"/>
      <c r="Q51" s="162"/>
      <c r="S51" s="104"/>
      <c r="T51" s="105"/>
      <c r="U51" s="105"/>
      <c r="V51" s="105"/>
      <c r="W51" s="105"/>
      <c r="X51" s="105"/>
      <c r="Y51" s="106"/>
    </row>
    <row r="52" spans="2:25">
      <c r="B52" s="80"/>
      <c r="C52" s="65"/>
      <c r="D52" s="65"/>
      <c r="E52" s="65"/>
      <c r="F52" s="65"/>
      <c r="G52" s="177"/>
      <c r="H52" s="177"/>
      <c r="I52" s="177"/>
      <c r="J52" s="177"/>
      <c r="K52" s="177"/>
      <c r="L52" s="177"/>
      <c r="M52" s="177"/>
      <c r="N52" s="177"/>
      <c r="O52" s="177"/>
      <c r="P52" s="177"/>
      <c r="Q52" s="162"/>
      <c r="S52" s="104"/>
      <c r="T52" s="105"/>
      <c r="U52" s="105"/>
      <c r="V52" s="105"/>
      <c r="W52" s="105"/>
      <c r="X52" s="105"/>
      <c r="Y52" s="106"/>
    </row>
    <row r="53" spans="2:25">
      <c r="B53" s="80"/>
      <c r="C53" s="65"/>
      <c r="D53" s="65"/>
      <c r="E53" s="65"/>
      <c r="F53" s="65"/>
      <c r="G53" s="177"/>
      <c r="H53" s="177"/>
      <c r="I53" s="177"/>
      <c r="J53" s="177"/>
      <c r="K53" s="177"/>
      <c r="L53" s="177"/>
      <c r="M53" s="177"/>
      <c r="N53" s="177"/>
      <c r="O53" s="177"/>
      <c r="P53" s="177"/>
      <c r="Q53" s="162"/>
      <c r="S53" s="104"/>
      <c r="T53" s="105"/>
      <c r="U53" s="105"/>
      <c r="V53" s="105"/>
      <c r="W53" s="105"/>
      <c r="X53" s="105"/>
      <c r="Y53" s="106"/>
    </row>
    <row r="54" spans="2:25">
      <c r="B54" s="80"/>
      <c r="C54" s="65"/>
      <c r="D54" s="65"/>
      <c r="E54" s="65"/>
      <c r="F54" s="65"/>
      <c r="G54" s="177"/>
      <c r="H54" s="177"/>
      <c r="I54" s="177"/>
      <c r="J54" s="177"/>
      <c r="K54" s="177"/>
      <c r="L54" s="177"/>
      <c r="M54" s="177"/>
      <c r="N54" s="177"/>
      <c r="O54" s="177"/>
      <c r="P54" s="177"/>
      <c r="Q54" s="162"/>
      <c r="S54" s="104"/>
      <c r="T54" s="105"/>
      <c r="U54" s="105"/>
      <c r="V54" s="105"/>
      <c r="W54" s="105"/>
      <c r="X54" s="105"/>
      <c r="Y54" s="106"/>
    </row>
    <row r="55" spans="2:25">
      <c r="B55" s="80"/>
      <c r="C55" s="65"/>
      <c r="D55" s="65"/>
      <c r="E55" s="65"/>
      <c r="F55" s="65"/>
      <c r="G55" s="177"/>
      <c r="H55" s="177"/>
      <c r="I55" s="177"/>
      <c r="J55" s="177"/>
      <c r="K55" s="177"/>
      <c r="L55" s="177"/>
      <c r="M55" s="177"/>
      <c r="N55" s="177"/>
      <c r="O55" s="177"/>
      <c r="P55" s="177"/>
      <c r="Q55" s="162"/>
      <c r="S55" s="104"/>
      <c r="T55" s="105"/>
      <c r="U55" s="105"/>
      <c r="V55" s="105"/>
      <c r="W55" s="105"/>
      <c r="X55" s="105"/>
      <c r="Y55" s="106"/>
    </row>
    <row r="56" spans="2:25">
      <c r="B56" s="80"/>
      <c r="C56" s="65"/>
      <c r="D56" s="65"/>
      <c r="E56" s="65"/>
      <c r="F56" s="65"/>
      <c r="G56" s="177"/>
      <c r="H56" s="177"/>
      <c r="I56" s="177"/>
      <c r="J56" s="177"/>
      <c r="K56" s="177"/>
      <c r="L56" s="177"/>
      <c r="M56" s="177"/>
      <c r="N56" s="177"/>
      <c r="O56" s="177"/>
      <c r="P56" s="177"/>
      <c r="Q56" s="162"/>
      <c r="S56" s="104"/>
      <c r="T56" s="105"/>
      <c r="U56" s="105"/>
      <c r="V56" s="105"/>
      <c r="W56" s="105"/>
      <c r="X56" s="105"/>
      <c r="Y56" s="106"/>
    </row>
    <row r="57" spans="2:25">
      <c r="B57" s="80"/>
      <c r="C57" s="65"/>
      <c r="D57" s="65"/>
      <c r="E57" s="65"/>
      <c r="F57" s="65"/>
      <c r="G57" s="177"/>
      <c r="H57" s="177"/>
      <c r="I57" s="177"/>
      <c r="J57" s="177"/>
      <c r="K57" s="177"/>
      <c r="L57" s="177"/>
      <c r="M57" s="177"/>
      <c r="N57" s="177"/>
      <c r="O57" s="177"/>
      <c r="P57" s="177"/>
      <c r="Q57" s="162"/>
      <c r="S57" s="104"/>
      <c r="T57" s="105"/>
      <c r="U57" s="105"/>
      <c r="V57" s="105"/>
      <c r="W57" s="105"/>
      <c r="X57" s="105"/>
      <c r="Y57" s="106"/>
    </row>
    <row r="58" spans="2:25">
      <c r="B58" s="80"/>
      <c r="C58" s="65"/>
      <c r="D58" s="65"/>
      <c r="E58" s="65"/>
      <c r="F58" s="65"/>
      <c r="G58" s="177"/>
      <c r="H58" s="177"/>
      <c r="I58" s="177"/>
      <c r="J58" s="177"/>
      <c r="K58" s="177"/>
      <c r="L58" s="177"/>
      <c r="M58" s="177"/>
      <c r="N58" s="177"/>
      <c r="O58" s="177"/>
      <c r="P58" s="177"/>
      <c r="Q58" s="162"/>
      <c r="S58" s="104"/>
      <c r="T58" s="105"/>
      <c r="U58" s="105"/>
      <c r="V58" s="105"/>
      <c r="W58" s="105"/>
      <c r="X58" s="105"/>
      <c r="Y58" s="106"/>
    </row>
    <row r="59" spans="2:25">
      <c r="B59" s="80"/>
      <c r="C59" s="65"/>
      <c r="D59" s="65"/>
      <c r="E59" s="65"/>
      <c r="F59" s="65"/>
      <c r="G59" s="177"/>
      <c r="H59" s="177"/>
      <c r="I59" s="177"/>
      <c r="J59" s="177"/>
      <c r="K59" s="177"/>
      <c r="L59" s="177"/>
      <c r="M59" s="177"/>
      <c r="N59" s="177"/>
      <c r="O59" s="177"/>
      <c r="P59" s="177"/>
      <c r="Q59" s="162"/>
      <c r="S59" s="104"/>
      <c r="T59" s="105"/>
      <c r="U59" s="105"/>
      <c r="V59" s="105"/>
      <c r="W59" s="105"/>
      <c r="X59" s="105"/>
      <c r="Y59" s="106"/>
    </row>
    <row r="60" spans="2:25">
      <c r="B60" s="80"/>
      <c r="C60" s="65"/>
      <c r="D60" s="65"/>
      <c r="E60" s="65"/>
      <c r="F60" s="65"/>
      <c r="G60" s="177"/>
      <c r="H60" s="177"/>
      <c r="I60" s="177"/>
      <c r="J60" s="177"/>
      <c r="K60" s="177"/>
      <c r="L60" s="177"/>
      <c r="M60" s="177"/>
      <c r="N60" s="177"/>
      <c r="O60" s="177"/>
      <c r="P60" s="177"/>
      <c r="Q60" s="162"/>
      <c r="S60" s="104"/>
      <c r="T60" s="105"/>
      <c r="U60" s="105"/>
      <c r="V60" s="105"/>
      <c r="W60" s="105"/>
      <c r="X60" s="105"/>
      <c r="Y60" s="106"/>
    </row>
    <row r="61" spans="2:25">
      <c r="B61" s="80"/>
      <c r="C61" s="65"/>
      <c r="D61" s="65"/>
      <c r="E61" s="65"/>
      <c r="F61" s="65"/>
      <c r="G61" s="176"/>
      <c r="H61" s="176"/>
      <c r="I61" s="176"/>
      <c r="J61" s="176"/>
      <c r="K61" s="176"/>
      <c r="L61" s="176"/>
      <c r="M61" s="176"/>
      <c r="N61" s="176"/>
      <c r="O61" s="176"/>
      <c r="P61" s="176"/>
      <c r="Q61" s="162"/>
      <c r="S61" s="104"/>
      <c r="T61" s="105"/>
      <c r="U61" s="105"/>
      <c r="V61" s="105"/>
      <c r="W61" s="105"/>
      <c r="X61" s="105"/>
      <c r="Y61" s="106"/>
    </row>
    <row r="62" spans="2:25">
      <c r="S62" s="104"/>
      <c r="T62" s="105"/>
      <c r="U62" s="105"/>
      <c r="V62" s="105"/>
      <c r="W62" s="105"/>
      <c r="X62" s="105"/>
      <c r="Y62" s="106"/>
    </row>
    <row r="63" spans="2:25">
      <c r="S63" s="107"/>
      <c r="T63" s="108"/>
      <c r="U63" s="108"/>
      <c r="V63" s="108"/>
      <c r="W63" s="108"/>
      <c r="X63" s="108"/>
      <c r="Y63" s="109"/>
    </row>
  </sheetData>
  <mergeCells count="14">
    <mergeCell ref="B7:C7"/>
    <mergeCell ref="B8:C8"/>
    <mergeCell ref="D8:F8"/>
    <mergeCell ref="S10:Y10"/>
    <mergeCell ref="B3:C3"/>
    <mergeCell ref="T3:Y3"/>
    <mergeCell ref="B4:C4"/>
    <mergeCell ref="T4:Y4"/>
    <mergeCell ref="B5:C5"/>
    <mergeCell ref="G5:G8"/>
    <mergeCell ref="H5:J8"/>
    <mergeCell ref="S5:S8"/>
    <mergeCell ref="T5:Y8"/>
    <mergeCell ref="B6:C6"/>
  </mergeCells>
  <phoneticPr fontId="1"/>
  <conditionalFormatting sqref="F3:G3">
    <cfRule type="cellIs" dxfId="5" priority="2" operator="equal">
      <formula>"マスタデータ"</formula>
    </cfRule>
  </conditionalFormatting>
  <conditionalFormatting sqref="S3">
    <cfRule type="cellIs" dxfId="4" priority="1" operator="equal">
      <formula>"マスタデータ"</formula>
    </cfRule>
  </conditionalFormatting>
  <dataValidations count="16">
    <dataValidation type="list" allowBlank="1" showInputMessage="1" showErrorMessage="1" sqref="F3" xr:uid="{01801693-D2EA-3C4A-80B8-B9C5656492BF}">
      <formula1>"マスタデータ,トランザクションデータ"</formula1>
    </dataValidation>
    <dataValidation type="list" allowBlank="1" showInputMessage="1" showErrorMessage="1" sqref="F4" xr:uid="{F3708C49-27C9-B749-983C-B584D6B7C1B1}">
      <formula1>"TEMPORARY TABLE, TABLE"</formula1>
    </dataValidation>
    <dataValidation type="list" allowBlank="1" showInputMessage="1" showErrorMessage="1" sqref="E12:E61" xr:uid="{260B911D-6296-F241-8016-33F6F1DE71AB}">
      <formula1>DataTypeCategory</formula1>
    </dataValidation>
    <dataValidation type="list" allowBlank="1" showInputMessage="1" showErrorMessage="1" prompt="型分類を選択してから、データ型を選択してください。" sqref="F12:F61" xr:uid="{C5A31DF1-AA8A-6541-B5E0-689A08B23841}">
      <formula1>INDIRECT($E12)</formula1>
    </dataValidation>
    <dataValidation type="list" allowBlank="1" showInputMessage="1" showErrorMessage="1" sqref="F5" xr:uid="{14F28D0E-E894-9B43-B387-1AF3EC8D9544}">
      <formula1>MySQL_Ver</formula1>
    </dataValidation>
    <dataValidation type="list" allowBlank="1" showInputMessage="1" showErrorMessage="1" sqref="F7" xr:uid="{EEB89F70-B105-6D46-A1D9-239AF1508753}">
      <formula1>Charset_List</formula1>
    </dataValidation>
    <dataValidation type="list" allowBlank="1" showInputMessage="1" showErrorMessage="1" sqref="F6" xr:uid="{2FFDFA0A-4388-2A40-B934-9E55A5C603EE}">
      <formula1>ENGINE</formula1>
    </dataValidation>
    <dataValidation type="list" allowBlank="1" showInputMessage="1" showErrorMessage="1" promptTitle="主キー（または複合主キー）の入力" prompt="主キーの場合は「1」を入力、_x000a_複合主キーの場合は 1〜5までの数字で入力してください。" sqref="G12:G61" xr:uid="{0731129A-78C3-0546-A1E9-62A0942B1A1A}">
      <formula1>"1,2,3,4,5"</formula1>
    </dataValidation>
    <dataValidation type="list" allowBlank="1" showInputMessage="1" showErrorMessage="1" sqref="J12:J61" xr:uid="{133E3E51-FB76-AC41-A8E4-0D7C09B0917E}">
      <formula1>"NOT NULL"</formula1>
    </dataValidation>
    <dataValidation imeMode="halfAlpha" allowBlank="1" showInputMessage="1" showErrorMessage="1" sqref="K12:K61" xr:uid="{E81EC5FD-903A-A44D-A22E-77706CB55CA4}"/>
    <dataValidation type="list" allowBlank="1" showInputMessage="1" showErrorMessage="1" sqref="L12:L61" xr:uid="{8ADB9CD7-98CF-8846-8C53-1E7FE161CBF9}">
      <formula1>"UNSIGNED"</formula1>
    </dataValidation>
    <dataValidation type="list" allowBlank="1" showInputMessage="1" showErrorMessage="1" sqref="M12:M61" xr:uid="{8514DA5C-8E24-D445-B95C-5E13DCC60BCD}">
      <formula1>"ZEROFILL"</formula1>
    </dataValidation>
    <dataValidation type="list" allowBlank="1" showInputMessage="1" showErrorMessage="1" prompt="インデックスの指定は最大10個まで対応しています。" sqref="N12:P61" xr:uid="{B9864048-7204-2847-A52B-4DB49A698195}">
      <formula1>"1,2,3,4,5,6,7,8,9,10"</formula1>
    </dataValidation>
    <dataValidation allowBlank="1" showInputMessage="1" showErrorMessage="1" promptTitle="物理テーブル名の入力ルール" prompt="先頭4文字は、必ず「アルファベット1文字」「数字3桁」で入力してください。_x000a_例）「m001_usr_masters」_x000a_理由）出力時のシート名で利用、かつインデックスの識別子（一部）に利用します。" sqref="D6" xr:uid="{5AD7D3C8-A524-5048-BF41-FD9584B3738C}"/>
    <dataValidation allowBlank="1" showInputMessage="1" showErrorMessage="1" prompt="インデックスの指定は最大10個まで対応しています。" sqref="Q12:Q61" xr:uid="{377F56AA-7C03-CA49-BB43-28B5EB864744}"/>
    <dataValidation type="list" allowBlank="1" showInputMessage="1" showErrorMessage="1" sqref="G12:G61" xr:uid="{03EF5538-1366-D441-810B-F11149218257}">
      <formula1>"1,2,3,4,5"</formula1>
    </dataValidation>
  </dataValidation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reateSQL_ButtonClick">
                <anchor moveWithCells="1">
                  <from>
                    <xdr:col>10</xdr:col>
                    <xdr:colOff>292100</xdr:colOff>
                    <xdr:row>2</xdr:row>
                    <xdr:rowOff>0</xdr:rowOff>
                  </from>
                  <to>
                    <xdr:col>15</xdr:col>
                    <xdr:colOff>114300</xdr:colOff>
                    <xdr:row>8</xdr:row>
                    <xdr:rowOff>0</xdr:rowOff>
                  </to>
                </anchor>
              </controlPr>
            </control>
          </mc:Choice>
        </mc:AlternateContent>
        <mc:AlternateContent xmlns:mc="http://schemas.openxmlformats.org/markup-compatibility/2006">
          <mc:Choice Requires="x14">
            <control shapeId="8194" r:id="rId4" name="Button 2">
              <controlPr defaultSize="0" print="0" autoFill="0" autoPict="0" macro="[0]!CopyCreateSQL_ButtonClick">
                <anchor moveWithCells="1">
                  <from>
                    <xdr:col>25</xdr:col>
                    <xdr:colOff>292100</xdr:colOff>
                    <xdr:row>9</xdr:row>
                    <xdr:rowOff>0</xdr:rowOff>
                  </from>
                  <to>
                    <xdr:col>27</xdr:col>
                    <xdr:colOff>584200</xdr:colOff>
                    <xdr:row>11</xdr:row>
                    <xdr:rowOff>0</xdr:rowOff>
                  </to>
                </anchor>
              </controlPr>
            </control>
          </mc:Choice>
        </mc:AlternateContent>
        <mc:AlternateContent xmlns:mc="http://schemas.openxmlformats.org/markup-compatibility/2006">
          <mc:Choice Requires="x14">
            <control shapeId="8195" r:id="rId5" name="Button 3">
              <controlPr defaultSize="0" print="0" autoFill="0" autoPict="0" macro="[0]!BackInputForm_ButtonClick">
                <anchor moveWithCells="1">
                  <from>
                    <xdr:col>25</xdr:col>
                    <xdr:colOff>292100</xdr:colOff>
                    <xdr:row>4</xdr:row>
                    <xdr:rowOff>0</xdr:rowOff>
                  </from>
                  <to>
                    <xdr:col>27</xdr:col>
                    <xdr:colOff>584200</xdr:colOff>
                    <xdr:row>7</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5DE64-671D-4547-977B-9CBA1CF1C828}">
  <sheetPr codeName="Sheet11"/>
  <dimension ref="A1:AC63"/>
  <sheetViews>
    <sheetView showGridLines="0" workbookViewId="0">
      <selection activeCell="H18" sqref="H18"/>
    </sheetView>
  </sheetViews>
  <sheetFormatPr baseColWidth="10" defaultColWidth="11.5703125" defaultRowHeight="18"/>
  <cols>
    <col min="1" max="1" width="1.5703125" style="2" customWidth="1"/>
    <col min="2" max="2" width="4.140625" style="2" customWidth="1"/>
    <col min="3" max="3" width="17.85546875" style="58" customWidth="1"/>
    <col min="4" max="4" width="18.42578125" style="58" bestFit="1" customWidth="1"/>
    <col min="5" max="5" width="14.5703125" style="58" customWidth="1"/>
    <col min="6" max="6" width="25.85546875" style="58" bestFit="1" customWidth="1"/>
    <col min="7" max="7" width="9.7109375" style="90" bestFit="1" customWidth="1"/>
    <col min="8" max="8" width="12" style="90" bestFit="1" customWidth="1"/>
    <col min="9" max="9" width="9.5703125" style="90" bestFit="1" customWidth="1"/>
    <col min="10" max="10" width="11" style="90" customWidth="1"/>
    <col min="11" max="11" width="8.7109375" style="90" bestFit="1" customWidth="1"/>
    <col min="12" max="12" width="10.28515625" style="90" bestFit="1" customWidth="1"/>
    <col min="13" max="13" width="9.42578125" style="90" bestFit="1" customWidth="1"/>
    <col min="14" max="16" width="6.7109375" style="90" bestFit="1" customWidth="1"/>
    <col min="17" max="17" width="7.85546875" style="90" hidden="1" customWidth="1"/>
    <col min="18" max="18" width="1.7109375" style="2" customWidth="1"/>
    <col min="19" max="16384" width="11.5703125" style="2"/>
  </cols>
  <sheetData>
    <row r="1" spans="1:29" ht="25">
      <c r="A1" s="148"/>
      <c r="B1" s="98" t="str">
        <f>IF(D6&lt;&gt;"",LEFT(D6,4),"") &amp;" テーブル定義書"</f>
        <v>expe テーブル定義書</v>
      </c>
      <c r="C1" s="100"/>
      <c r="D1" s="100"/>
      <c r="E1" s="100"/>
      <c r="F1" s="100"/>
      <c r="G1" s="99"/>
      <c r="H1" s="99"/>
      <c r="I1" s="99"/>
      <c r="J1" s="99"/>
      <c r="K1" s="99"/>
      <c r="L1" s="99"/>
      <c r="M1" s="99"/>
      <c r="N1" s="99"/>
      <c r="O1" s="99"/>
      <c r="P1" s="99"/>
      <c r="Q1" s="99"/>
      <c r="R1" s="148"/>
      <c r="S1" s="98" t="s">
        <v>393</v>
      </c>
      <c r="T1" s="99"/>
      <c r="U1" s="99"/>
      <c r="V1" s="99"/>
      <c r="W1" s="99"/>
      <c r="X1" s="99"/>
      <c r="Y1" s="99"/>
    </row>
    <row r="2" spans="1:29" ht="24" customHeight="1">
      <c r="B2" s="149" t="s">
        <v>376</v>
      </c>
      <c r="C2" s="67"/>
      <c r="D2" s="67"/>
      <c r="E2" s="67"/>
      <c r="F2" s="67"/>
      <c r="H2" s="89"/>
      <c r="J2" s="97" t="s">
        <v>390</v>
      </c>
      <c r="S2" s="83" t="s">
        <v>451</v>
      </c>
    </row>
    <row r="3" spans="1:29">
      <c r="B3" s="188" t="s">
        <v>167</v>
      </c>
      <c r="C3" s="189"/>
      <c r="D3" s="85" t="s">
        <v>548</v>
      </c>
      <c r="E3" s="3" t="s">
        <v>353</v>
      </c>
      <c r="F3" s="86" t="s">
        <v>352</v>
      </c>
      <c r="G3" s="3" t="s">
        <v>7</v>
      </c>
      <c r="H3" s="94" t="s">
        <v>546</v>
      </c>
      <c r="I3" s="3" t="s">
        <v>149</v>
      </c>
      <c r="J3" s="86"/>
      <c r="S3" s="3" t="s">
        <v>498</v>
      </c>
      <c r="T3" s="190" t="s">
        <v>650</v>
      </c>
      <c r="U3" s="190"/>
      <c r="V3" s="190"/>
      <c r="W3" s="190"/>
      <c r="X3" s="190"/>
      <c r="Y3" s="190"/>
    </row>
    <row r="4" spans="1:29">
      <c r="B4" s="188" t="s">
        <v>168</v>
      </c>
      <c r="C4" s="189"/>
      <c r="D4" s="85" t="s">
        <v>455</v>
      </c>
      <c r="E4" s="3" t="s">
        <v>497</v>
      </c>
      <c r="F4" s="170" t="s">
        <v>512</v>
      </c>
      <c r="G4" s="3" t="s">
        <v>367</v>
      </c>
      <c r="H4" s="86" t="s">
        <v>547</v>
      </c>
      <c r="I4" s="3" t="s">
        <v>150</v>
      </c>
      <c r="J4" s="86"/>
      <c r="L4" s="91"/>
      <c r="M4" s="91"/>
      <c r="N4" s="91"/>
      <c r="S4" s="3" t="s">
        <v>499</v>
      </c>
      <c r="T4" s="187" t="s">
        <v>501</v>
      </c>
      <c r="U4" s="187"/>
      <c r="V4" s="187"/>
      <c r="W4" s="187"/>
      <c r="X4" s="187"/>
      <c r="Y4" s="187"/>
    </row>
    <row r="5" spans="1:29" ht="20" customHeight="1">
      <c r="B5" s="188" t="s">
        <v>379</v>
      </c>
      <c r="C5" s="189"/>
      <c r="D5" s="86" t="s">
        <v>578</v>
      </c>
      <c r="E5" s="3" t="s">
        <v>383</v>
      </c>
      <c r="F5" s="87">
        <v>5.7</v>
      </c>
      <c r="G5" s="193" t="s">
        <v>351</v>
      </c>
      <c r="H5" s="194"/>
      <c r="I5" s="194"/>
      <c r="J5" s="194"/>
      <c r="L5" s="82"/>
      <c r="M5" s="82"/>
      <c r="N5" s="82"/>
      <c r="S5" s="193" t="s">
        <v>500</v>
      </c>
      <c r="T5" s="191" t="s">
        <v>502</v>
      </c>
      <c r="U5" s="192"/>
      <c r="V5" s="192"/>
      <c r="W5" s="192"/>
      <c r="X5" s="192"/>
      <c r="Y5" s="192"/>
    </row>
    <row r="6" spans="1:29" ht="20" customHeight="1">
      <c r="B6" s="188" t="s">
        <v>380</v>
      </c>
      <c r="C6" s="189"/>
      <c r="D6" s="88" t="s">
        <v>618</v>
      </c>
      <c r="E6" s="3" t="s">
        <v>384</v>
      </c>
      <c r="F6" s="88" t="s">
        <v>567</v>
      </c>
      <c r="G6" s="193"/>
      <c r="H6" s="194"/>
      <c r="I6" s="194"/>
      <c r="J6" s="194"/>
      <c r="L6" s="82"/>
      <c r="M6" s="82"/>
      <c r="N6" s="82"/>
      <c r="S6" s="193"/>
      <c r="T6" s="192"/>
      <c r="U6" s="192"/>
      <c r="V6" s="192"/>
      <c r="W6" s="192"/>
      <c r="X6" s="192"/>
      <c r="Y6" s="192"/>
    </row>
    <row r="7" spans="1:29" ht="20" customHeight="1">
      <c r="B7" s="188" t="s">
        <v>381</v>
      </c>
      <c r="C7" s="189"/>
      <c r="D7" s="88" t="s">
        <v>619</v>
      </c>
      <c r="E7" s="3" t="s">
        <v>385</v>
      </c>
      <c r="F7" s="88" t="s">
        <v>349</v>
      </c>
      <c r="G7" s="193"/>
      <c r="H7" s="194"/>
      <c r="I7" s="194"/>
      <c r="J7" s="194"/>
      <c r="L7" s="82"/>
      <c r="M7" s="82"/>
      <c r="N7" s="82"/>
      <c r="S7" s="193"/>
      <c r="T7" s="192"/>
      <c r="U7" s="192"/>
      <c r="V7" s="192"/>
      <c r="W7" s="192"/>
      <c r="X7" s="192"/>
      <c r="Y7" s="192"/>
    </row>
    <row r="8" spans="1:29" ht="21" customHeight="1">
      <c r="B8" s="188" t="s">
        <v>382</v>
      </c>
      <c r="C8" s="189"/>
      <c r="D8" s="184" t="s">
        <v>620</v>
      </c>
      <c r="E8" s="185"/>
      <c r="F8" s="186"/>
      <c r="G8" s="193"/>
      <c r="H8" s="194"/>
      <c r="I8" s="194"/>
      <c r="J8" s="194"/>
      <c r="L8" s="82"/>
      <c r="M8" s="82"/>
      <c r="N8" s="82"/>
      <c r="S8" s="193"/>
      <c r="T8" s="192"/>
      <c r="U8" s="192"/>
      <c r="V8" s="192"/>
      <c r="W8" s="192"/>
      <c r="X8" s="192"/>
      <c r="Y8" s="192"/>
    </row>
    <row r="9" spans="1:29">
      <c r="J9" s="95"/>
      <c r="L9" s="91"/>
      <c r="M9" s="91"/>
      <c r="N9" s="91"/>
      <c r="S9" s="83" t="s">
        <v>452</v>
      </c>
    </row>
    <row r="10" spans="1:29">
      <c r="B10" s="83" t="s">
        <v>152</v>
      </c>
      <c r="H10" s="96" t="s">
        <v>392</v>
      </c>
      <c r="I10" s="96" t="s">
        <v>391</v>
      </c>
      <c r="J10" s="96" t="s">
        <v>391</v>
      </c>
      <c r="K10" s="96" t="s">
        <v>391</v>
      </c>
      <c r="L10" s="96" t="s">
        <v>391</v>
      </c>
      <c r="M10" s="96" t="s">
        <v>391</v>
      </c>
      <c r="Q10" s="96" t="s">
        <v>395</v>
      </c>
      <c r="S10" s="182" t="s">
        <v>414</v>
      </c>
      <c r="T10" s="183"/>
      <c r="U10" s="183"/>
      <c r="V10" s="183"/>
      <c r="W10" s="183"/>
      <c r="X10" s="183"/>
      <c r="Y10" s="183"/>
      <c r="AC10" s="2" t="s">
        <v>503</v>
      </c>
    </row>
    <row r="11" spans="1:29" s="84" customFormat="1" ht="51">
      <c r="B11" s="92" t="s">
        <v>6</v>
      </c>
      <c r="C11" s="93" t="s">
        <v>386</v>
      </c>
      <c r="D11" s="93" t="s">
        <v>387</v>
      </c>
      <c r="E11" s="93" t="s">
        <v>388</v>
      </c>
      <c r="F11" s="93" t="s">
        <v>389</v>
      </c>
      <c r="G11" s="163" t="s">
        <v>372</v>
      </c>
      <c r="H11" s="164" t="s">
        <v>486</v>
      </c>
      <c r="I11" s="165" t="s">
        <v>487</v>
      </c>
      <c r="J11" s="165" t="s">
        <v>373</v>
      </c>
      <c r="K11" s="165" t="s">
        <v>488</v>
      </c>
      <c r="L11" s="166" t="s">
        <v>484</v>
      </c>
      <c r="M11" s="166" t="s">
        <v>485</v>
      </c>
      <c r="N11" s="167" t="s">
        <v>448</v>
      </c>
      <c r="O11" s="167" t="s">
        <v>449</v>
      </c>
      <c r="P11" s="167" t="s">
        <v>450</v>
      </c>
      <c r="Q11" s="166" t="s">
        <v>394</v>
      </c>
      <c r="S11" s="101" t="s">
        <v>646</v>
      </c>
      <c r="T11" s="102"/>
      <c r="U11" s="102"/>
      <c r="V11" s="102"/>
      <c r="W11" s="102"/>
      <c r="X11" s="102"/>
      <c r="Y11" s="103"/>
    </row>
    <row r="12" spans="1:29">
      <c r="B12" s="80">
        <v>1</v>
      </c>
      <c r="C12" s="65" t="s">
        <v>163</v>
      </c>
      <c r="D12" s="65" t="s">
        <v>625</v>
      </c>
      <c r="E12" s="65" t="s">
        <v>16</v>
      </c>
      <c r="F12" s="65" t="s">
        <v>562</v>
      </c>
      <c r="G12" s="176">
        <v>1</v>
      </c>
      <c r="H12" s="176"/>
      <c r="I12" s="176"/>
      <c r="J12" s="176"/>
      <c r="K12" s="176"/>
      <c r="L12" s="176"/>
      <c r="M12" s="176"/>
      <c r="N12" s="176"/>
      <c r="O12" s="176"/>
      <c r="P12" s="176"/>
      <c r="Q12" s="162"/>
      <c r="S12" s="104" t="s">
        <v>627</v>
      </c>
      <c r="T12" s="105"/>
      <c r="U12" s="105"/>
      <c r="V12" s="105"/>
      <c r="W12" s="105"/>
      <c r="X12" s="105"/>
      <c r="Y12" s="106"/>
    </row>
    <row r="13" spans="1:29">
      <c r="B13" s="80">
        <v>2</v>
      </c>
      <c r="C13" s="65" t="s">
        <v>623</v>
      </c>
      <c r="D13" s="65" t="s">
        <v>621</v>
      </c>
      <c r="E13" s="65" t="s">
        <v>41</v>
      </c>
      <c r="F13" s="65" t="s">
        <v>360</v>
      </c>
      <c r="G13" s="176"/>
      <c r="H13" s="176">
        <v>255</v>
      </c>
      <c r="I13" s="176"/>
      <c r="J13" s="176" t="s">
        <v>656</v>
      </c>
      <c r="K13" s="176"/>
      <c r="L13" s="176"/>
      <c r="M13" s="176"/>
      <c r="N13" s="176"/>
      <c r="O13" s="176"/>
      <c r="P13" s="176"/>
      <c r="Q13" s="162"/>
      <c r="S13" s="104" t="s">
        <v>647</v>
      </c>
      <c r="T13" s="105"/>
      <c r="U13" s="105"/>
      <c r="V13" s="105"/>
      <c r="W13" s="105"/>
      <c r="X13" s="105"/>
      <c r="Y13" s="106"/>
    </row>
    <row r="14" spans="1:29">
      <c r="B14" s="80">
        <v>3</v>
      </c>
      <c r="C14" s="65" t="s">
        <v>624</v>
      </c>
      <c r="D14" s="65" t="s">
        <v>622</v>
      </c>
      <c r="E14" s="65" t="s">
        <v>41</v>
      </c>
      <c r="F14" s="65" t="s">
        <v>360</v>
      </c>
      <c r="G14" s="176"/>
      <c r="H14" s="176">
        <v>255</v>
      </c>
      <c r="I14" s="176"/>
      <c r="J14" s="176"/>
      <c r="K14" s="176"/>
      <c r="L14" s="176"/>
      <c r="M14" s="176"/>
      <c r="N14" s="176"/>
      <c r="O14" s="176"/>
      <c r="P14" s="176"/>
      <c r="Q14" s="162"/>
      <c r="S14" s="104" t="s">
        <v>648</v>
      </c>
      <c r="T14" s="105"/>
      <c r="U14" s="105"/>
      <c r="V14" s="105"/>
      <c r="W14" s="105"/>
      <c r="X14" s="105"/>
      <c r="Y14" s="106"/>
    </row>
    <row r="15" spans="1:29">
      <c r="B15" s="80">
        <v>4</v>
      </c>
      <c r="C15" s="65" t="s">
        <v>610</v>
      </c>
      <c r="D15" s="65" t="s">
        <v>657</v>
      </c>
      <c r="E15" s="65" t="s">
        <v>41</v>
      </c>
      <c r="F15" s="65" t="s">
        <v>360</v>
      </c>
      <c r="G15" s="176"/>
      <c r="H15" s="176">
        <v>1000</v>
      </c>
      <c r="I15" s="176"/>
      <c r="J15" s="176"/>
      <c r="K15" s="176"/>
      <c r="L15" s="176"/>
      <c r="M15" s="176"/>
      <c r="N15" s="176"/>
      <c r="O15" s="176"/>
      <c r="P15" s="176"/>
      <c r="Q15" s="162"/>
      <c r="S15" s="104" t="s">
        <v>642</v>
      </c>
      <c r="T15" s="105"/>
      <c r="U15" s="105"/>
      <c r="V15" s="105"/>
      <c r="W15" s="105"/>
      <c r="X15" s="105"/>
      <c r="Y15" s="106"/>
    </row>
    <row r="16" spans="1:29">
      <c r="B16" s="80">
        <v>5</v>
      </c>
      <c r="C16" s="65" t="s">
        <v>565</v>
      </c>
      <c r="D16" s="65" t="s">
        <v>588</v>
      </c>
      <c r="E16" s="65" t="s">
        <v>16</v>
      </c>
      <c r="F16" s="65" t="s">
        <v>566</v>
      </c>
      <c r="G16" s="176"/>
      <c r="H16" s="176">
        <v>1</v>
      </c>
      <c r="I16" s="176"/>
      <c r="J16" s="176"/>
      <c r="K16" s="176">
        <v>0</v>
      </c>
      <c r="L16" s="176"/>
      <c r="M16" s="176"/>
      <c r="N16" s="176"/>
      <c r="O16" s="176"/>
      <c r="P16" s="176"/>
      <c r="Q16" s="162"/>
      <c r="S16" s="104" t="s">
        <v>643</v>
      </c>
      <c r="T16" s="105"/>
      <c r="U16" s="105"/>
      <c r="V16" s="105"/>
      <c r="W16" s="105"/>
      <c r="X16" s="105"/>
      <c r="Y16" s="106"/>
    </row>
    <row r="17" spans="2:25">
      <c r="B17" s="80">
        <v>6</v>
      </c>
      <c r="C17" s="65" t="s">
        <v>553</v>
      </c>
      <c r="D17" s="65" t="s">
        <v>551</v>
      </c>
      <c r="E17" s="65" t="s">
        <v>16</v>
      </c>
      <c r="F17" s="65" t="s">
        <v>566</v>
      </c>
      <c r="G17" s="176"/>
      <c r="H17" s="176">
        <v>50</v>
      </c>
      <c r="I17" s="176"/>
      <c r="J17" s="176"/>
      <c r="K17" s="176"/>
      <c r="L17" s="176"/>
      <c r="M17" s="176"/>
      <c r="N17" s="176"/>
      <c r="O17" s="176"/>
      <c r="P17" s="176"/>
      <c r="Q17" s="162"/>
      <c r="S17" s="104" t="s">
        <v>644</v>
      </c>
      <c r="T17" s="105"/>
      <c r="U17" s="105"/>
      <c r="V17" s="105"/>
      <c r="W17" s="105"/>
      <c r="X17" s="105"/>
      <c r="Y17" s="106"/>
    </row>
    <row r="18" spans="2:25">
      <c r="B18" s="80"/>
      <c r="C18" s="65"/>
      <c r="D18" s="65"/>
      <c r="E18" s="65"/>
      <c r="F18" s="65"/>
      <c r="G18" s="176"/>
      <c r="H18" s="176"/>
      <c r="I18" s="176"/>
      <c r="J18" s="176"/>
      <c r="K18" s="176"/>
      <c r="L18" s="176"/>
      <c r="M18" s="176"/>
      <c r="N18" s="176"/>
      <c r="O18" s="176"/>
      <c r="P18" s="176"/>
      <c r="Q18" s="162"/>
      <c r="S18" s="104" t="s">
        <v>526</v>
      </c>
      <c r="T18" s="105"/>
      <c r="U18" s="105"/>
      <c r="V18" s="105"/>
      <c r="W18" s="105"/>
      <c r="X18" s="105"/>
      <c r="Y18" s="106"/>
    </row>
    <row r="19" spans="2:25">
      <c r="B19" s="80"/>
      <c r="C19" s="65"/>
      <c r="D19" s="65"/>
      <c r="E19" s="65"/>
      <c r="F19" s="65"/>
      <c r="G19" s="176"/>
      <c r="H19" s="176"/>
      <c r="I19" s="176"/>
      <c r="J19" s="176"/>
      <c r="K19" s="176"/>
      <c r="L19" s="176"/>
      <c r="M19" s="176"/>
      <c r="N19" s="176"/>
      <c r="O19" s="176"/>
      <c r="P19" s="176"/>
      <c r="Q19" s="162"/>
      <c r="S19" s="104" t="s">
        <v>513</v>
      </c>
      <c r="T19" s="105"/>
      <c r="U19" s="105"/>
      <c r="V19" s="105"/>
      <c r="W19" s="105"/>
      <c r="X19" s="105"/>
      <c r="Y19" s="106"/>
    </row>
    <row r="20" spans="2:25">
      <c r="B20" s="80"/>
      <c r="C20" s="65"/>
      <c r="D20" s="65"/>
      <c r="E20" s="65"/>
      <c r="F20" s="65"/>
      <c r="G20" s="176"/>
      <c r="H20" s="176"/>
      <c r="I20" s="176"/>
      <c r="J20" s="176"/>
      <c r="K20" s="176"/>
      <c r="L20" s="176"/>
      <c r="M20" s="176"/>
      <c r="N20" s="176"/>
      <c r="O20" s="176"/>
      <c r="P20" s="176"/>
      <c r="Q20" s="162"/>
      <c r="S20" s="104" t="s">
        <v>514</v>
      </c>
      <c r="T20" s="105"/>
      <c r="U20" s="105"/>
      <c r="V20" s="105"/>
      <c r="W20" s="105"/>
      <c r="X20" s="105"/>
      <c r="Y20" s="106"/>
    </row>
    <row r="21" spans="2:25">
      <c r="B21" s="80"/>
      <c r="C21" s="65"/>
      <c r="D21" s="65"/>
      <c r="E21" s="65"/>
      <c r="F21" s="65"/>
      <c r="G21" s="176"/>
      <c r="H21" s="176"/>
      <c r="I21" s="176"/>
      <c r="J21" s="176"/>
      <c r="K21" s="176"/>
      <c r="L21" s="176"/>
      <c r="M21" s="176"/>
      <c r="N21" s="176"/>
      <c r="O21" s="176"/>
      <c r="P21" s="176"/>
      <c r="Q21" s="162"/>
      <c r="S21" s="104" t="s">
        <v>528</v>
      </c>
      <c r="T21" s="105"/>
      <c r="U21" s="105"/>
      <c r="V21" s="105"/>
      <c r="W21" s="105"/>
      <c r="X21" s="105"/>
      <c r="Y21" s="106"/>
    </row>
    <row r="22" spans="2:25">
      <c r="B22" s="80"/>
      <c r="C22" s="65"/>
      <c r="D22" s="65"/>
      <c r="E22" s="65"/>
      <c r="F22" s="65"/>
      <c r="G22" s="176"/>
      <c r="H22" s="176"/>
      <c r="I22" s="176"/>
      <c r="J22" s="176"/>
      <c r="K22" s="176"/>
      <c r="L22" s="176"/>
      <c r="M22" s="176"/>
      <c r="N22" s="176"/>
      <c r="O22" s="176"/>
      <c r="P22" s="176"/>
      <c r="Q22" s="162"/>
      <c r="S22" s="104" t="s">
        <v>649</v>
      </c>
      <c r="T22" s="105"/>
      <c r="U22" s="105"/>
      <c r="V22" s="105"/>
      <c r="W22" s="105"/>
      <c r="X22" s="105"/>
      <c r="Y22" s="106"/>
    </row>
    <row r="23" spans="2:25">
      <c r="B23" s="80"/>
      <c r="C23" s="65"/>
      <c r="D23" s="65"/>
      <c r="E23" s="65"/>
      <c r="F23" s="65"/>
      <c r="G23" s="176"/>
      <c r="H23" s="176"/>
      <c r="I23" s="176"/>
      <c r="J23" s="176"/>
      <c r="K23" s="176"/>
      <c r="L23" s="176"/>
      <c r="M23" s="176"/>
      <c r="N23" s="176"/>
      <c r="O23" s="176"/>
      <c r="P23" s="176"/>
      <c r="Q23" s="162"/>
      <c r="S23" s="104" t="s">
        <v>515</v>
      </c>
      <c r="T23" s="105"/>
      <c r="U23" s="105"/>
      <c r="V23" s="105"/>
      <c r="W23" s="105"/>
      <c r="X23" s="105"/>
      <c r="Y23" s="106"/>
    </row>
    <row r="24" spans="2:25">
      <c r="B24" s="80"/>
      <c r="C24" s="65"/>
      <c r="D24" s="65"/>
      <c r="E24" s="65"/>
      <c r="F24" s="65"/>
      <c r="G24" s="176"/>
      <c r="H24" s="176"/>
      <c r="I24" s="176"/>
      <c r="J24" s="176"/>
      <c r="K24" s="176"/>
      <c r="L24" s="176"/>
      <c r="M24" s="176"/>
      <c r="N24" s="176"/>
      <c r="O24" s="176"/>
      <c r="P24" s="176"/>
      <c r="Q24" s="162"/>
      <c r="S24" s="104"/>
      <c r="T24" s="105"/>
      <c r="U24" s="105"/>
      <c r="V24" s="105"/>
      <c r="W24" s="105"/>
      <c r="X24" s="105"/>
      <c r="Y24" s="106"/>
    </row>
    <row r="25" spans="2:25">
      <c r="B25" s="80"/>
      <c r="C25" s="65"/>
      <c r="D25" s="65"/>
      <c r="E25" s="65"/>
      <c r="F25" s="65"/>
      <c r="G25" s="176"/>
      <c r="H25" s="176"/>
      <c r="I25" s="176"/>
      <c r="J25" s="176"/>
      <c r="K25" s="176"/>
      <c r="L25" s="176"/>
      <c r="M25" s="176"/>
      <c r="N25" s="176"/>
      <c r="O25" s="176"/>
      <c r="P25" s="176"/>
      <c r="Q25" s="162"/>
      <c r="S25" s="104"/>
      <c r="T25" s="105"/>
      <c r="U25" s="105"/>
      <c r="V25" s="105"/>
      <c r="W25" s="105"/>
      <c r="X25" s="105"/>
      <c r="Y25" s="106"/>
    </row>
    <row r="26" spans="2:25">
      <c r="B26" s="80"/>
      <c r="C26" s="65"/>
      <c r="D26" s="65"/>
      <c r="E26" s="65"/>
      <c r="F26" s="65"/>
      <c r="G26" s="176"/>
      <c r="H26" s="176"/>
      <c r="I26" s="176"/>
      <c r="J26" s="176"/>
      <c r="K26" s="176"/>
      <c r="L26" s="176"/>
      <c r="M26" s="176"/>
      <c r="N26" s="176"/>
      <c r="O26" s="176"/>
      <c r="P26" s="176"/>
      <c r="Q26" s="162"/>
      <c r="S26" s="104"/>
      <c r="T26" s="105"/>
      <c r="U26" s="105"/>
      <c r="V26" s="105"/>
      <c r="W26" s="105"/>
      <c r="X26" s="105"/>
      <c r="Y26" s="106"/>
    </row>
    <row r="27" spans="2:25">
      <c r="B27" s="80"/>
      <c r="C27" s="65"/>
      <c r="D27" s="65"/>
      <c r="E27" s="65"/>
      <c r="F27" s="65"/>
      <c r="G27" s="176"/>
      <c r="H27" s="176"/>
      <c r="I27" s="176"/>
      <c r="J27" s="176"/>
      <c r="K27" s="176"/>
      <c r="L27" s="176"/>
      <c r="M27" s="176"/>
      <c r="N27" s="176"/>
      <c r="O27" s="176"/>
      <c r="P27" s="176"/>
      <c r="Q27" s="162"/>
      <c r="S27" s="104"/>
      <c r="T27" s="105"/>
      <c r="U27" s="105"/>
      <c r="V27" s="105"/>
      <c r="W27" s="105"/>
      <c r="X27" s="105"/>
      <c r="Y27" s="106"/>
    </row>
    <row r="28" spans="2:25">
      <c r="B28" s="80"/>
      <c r="C28" s="65"/>
      <c r="D28" s="65"/>
      <c r="E28" s="65"/>
      <c r="F28" s="65"/>
      <c r="G28" s="176"/>
      <c r="H28" s="176"/>
      <c r="I28" s="176"/>
      <c r="J28" s="176"/>
      <c r="K28" s="176"/>
      <c r="L28" s="176"/>
      <c r="M28" s="176"/>
      <c r="N28" s="176"/>
      <c r="O28" s="176"/>
      <c r="P28" s="176"/>
      <c r="Q28" s="162"/>
      <c r="S28" s="104"/>
      <c r="T28" s="105"/>
      <c r="U28" s="105"/>
      <c r="V28" s="105"/>
      <c r="W28" s="105"/>
      <c r="X28" s="105"/>
      <c r="Y28" s="106"/>
    </row>
    <row r="29" spans="2:25">
      <c r="B29" s="80"/>
      <c r="C29" s="65"/>
      <c r="D29" s="65"/>
      <c r="E29" s="65"/>
      <c r="F29" s="65"/>
      <c r="G29" s="176"/>
      <c r="H29" s="176"/>
      <c r="I29" s="176"/>
      <c r="J29" s="176"/>
      <c r="K29" s="176"/>
      <c r="L29" s="176"/>
      <c r="M29" s="176"/>
      <c r="N29" s="176"/>
      <c r="O29" s="176"/>
      <c r="P29" s="176"/>
      <c r="Q29" s="162"/>
      <c r="S29" s="104"/>
      <c r="T29" s="105"/>
      <c r="U29" s="105"/>
      <c r="V29" s="105"/>
      <c r="W29" s="105"/>
      <c r="X29" s="105"/>
      <c r="Y29" s="106"/>
    </row>
    <row r="30" spans="2:25">
      <c r="B30" s="80"/>
      <c r="C30" s="65"/>
      <c r="D30" s="65"/>
      <c r="E30" s="65"/>
      <c r="F30" s="65"/>
      <c r="G30" s="176"/>
      <c r="H30" s="176"/>
      <c r="I30" s="176"/>
      <c r="J30" s="176"/>
      <c r="K30" s="176"/>
      <c r="L30" s="176"/>
      <c r="M30" s="176"/>
      <c r="N30" s="176"/>
      <c r="O30" s="176"/>
      <c r="P30" s="176"/>
      <c r="Q30" s="162"/>
      <c r="S30" s="104"/>
      <c r="T30" s="105"/>
      <c r="U30" s="105"/>
      <c r="V30" s="105"/>
      <c r="W30" s="105"/>
      <c r="X30" s="105"/>
      <c r="Y30" s="106"/>
    </row>
    <row r="31" spans="2:25">
      <c r="B31" s="80"/>
      <c r="C31" s="65"/>
      <c r="D31" s="65"/>
      <c r="E31" s="65"/>
      <c r="F31" s="65"/>
      <c r="G31" s="176"/>
      <c r="H31" s="176"/>
      <c r="I31" s="176"/>
      <c r="J31" s="176"/>
      <c r="K31" s="176"/>
      <c r="L31" s="176"/>
      <c r="M31" s="176"/>
      <c r="N31" s="176"/>
      <c r="O31" s="176"/>
      <c r="P31" s="176"/>
      <c r="Q31" s="162"/>
      <c r="S31" s="104"/>
      <c r="T31" s="105"/>
      <c r="U31" s="105"/>
      <c r="V31" s="105"/>
      <c r="W31" s="105"/>
      <c r="X31" s="105"/>
      <c r="Y31" s="106"/>
    </row>
    <row r="32" spans="2:25">
      <c r="B32" s="80"/>
      <c r="C32" s="65"/>
      <c r="D32" s="65"/>
      <c r="E32" s="65"/>
      <c r="F32" s="65"/>
      <c r="G32" s="176"/>
      <c r="H32" s="176"/>
      <c r="I32" s="176"/>
      <c r="J32" s="176"/>
      <c r="K32" s="176"/>
      <c r="L32" s="176"/>
      <c r="M32" s="176"/>
      <c r="N32" s="176"/>
      <c r="O32" s="176"/>
      <c r="P32" s="176"/>
      <c r="Q32" s="162"/>
      <c r="S32" s="104"/>
      <c r="T32" s="105"/>
      <c r="U32" s="105"/>
      <c r="V32" s="105"/>
      <c r="W32" s="105"/>
      <c r="X32" s="105"/>
      <c r="Y32" s="106"/>
    </row>
    <row r="33" spans="2:25">
      <c r="B33" s="80"/>
      <c r="C33" s="65"/>
      <c r="D33" s="65"/>
      <c r="E33" s="65"/>
      <c r="F33" s="65"/>
      <c r="G33" s="176"/>
      <c r="H33" s="176"/>
      <c r="I33" s="176"/>
      <c r="J33" s="176"/>
      <c r="K33" s="176"/>
      <c r="L33" s="176"/>
      <c r="M33" s="176"/>
      <c r="N33" s="176"/>
      <c r="O33" s="176"/>
      <c r="P33" s="176"/>
      <c r="Q33" s="162"/>
      <c r="S33" s="104"/>
      <c r="T33" s="105"/>
      <c r="U33" s="105"/>
      <c r="V33" s="105"/>
      <c r="W33" s="105"/>
      <c r="X33" s="105"/>
      <c r="Y33" s="106"/>
    </row>
    <row r="34" spans="2:25">
      <c r="B34" s="80"/>
      <c r="C34" s="65"/>
      <c r="D34" s="65"/>
      <c r="E34" s="65"/>
      <c r="F34" s="65"/>
      <c r="G34" s="176"/>
      <c r="H34" s="176"/>
      <c r="I34" s="176"/>
      <c r="J34" s="176"/>
      <c r="K34" s="176"/>
      <c r="L34" s="176"/>
      <c r="M34" s="176"/>
      <c r="N34" s="176"/>
      <c r="O34" s="176"/>
      <c r="P34" s="176"/>
      <c r="Q34" s="162"/>
      <c r="S34" s="104"/>
      <c r="T34" s="105"/>
      <c r="U34" s="105"/>
      <c r="V34" s="105"/>
      <c r="W34" s="105"/>
      <c r="X34" s="105"/>
      <c r="Y34" s="106"/>
    </row>
    <row r="35" spans="2:25">
      <c r="B35" s="80"/>
      <c r="C35" s="65"/>
      <c r="D35" s="65"/>
      <c r="E35" s="65"/>
      <c r="F35" s="65"/>
      <c r="G35" s="176"/>
      <c r="H35" s="176"/>
      <c r="I35" s="176"/>
      <c r="J35" s="176"/>
      <c r="K35" s="176"/>
      <c r="L35" s="176"/>
      <c r="M35" s="176"/>
      <c r="N35" s="176"/>
      <c r="O35" s="176"/>
      <c r="P35" s="176"/>
      <c r="Q35" s="162"/>
      <c r="S35" s="104"/>
      <c r="T35" s="105"/>
      <c r="U35" s="105"/>
      <c r="V35" s="105"/>
      <c r="W35" s="105"/>
      <c r="X35" s="105"/>
      <c r="Y35" s="106"/>
    </row>
    <row r="36" spans="2:25">
      <c r="B36" s="80"/>
      <c r="C36" s="65"/>
      <c r="D36" s="65"/>
      <c r="E36" s="65"/>
      <c r="F36" s="65"/>
      <c r="G36" s="176"/>
      <c r="H36" s="176"/>
      <c r="I36" s="176"/>
      <c r="J36" s="176"/>
      <c r="K36" s="176"/>
      <c r="L36" s="176"/>
      <c r="M36" s="176"/>
      <c r="N36" s="176"/>
      <c r="O36" s="176"/>
      <c r="P36" s="176"/>
      <c r="Q36" s="162"/>
      <c r="S36" s="104"/>
      <c r="T36" s="105"/>
      <c r="U36" s="105"/>
      <c r="V36" s="105"/>
      <c r="W36" s="105"/>
      <c r="X36" s="105"/>
      <c r="Y36" s="106"/>
    </row>
    <row r="37" spans="2:25">
      <c r="B37" s="80"/>
      <c r="C37" s="65"/>
      <c r="D37" s="65"/>
      <c r="E37" s="65"/>
      <c r="F37" s="65"/>
      <c r="G37" s="176"/>
      <c r="H37" s="176"/>
      <c r="I37" s="176"/>
      <c r="J37" s="176"/>
      <c r="K37" s="176"/>
      <c r="L37" s="176"/>
      <c r="M37" s="176"/>
      <c r="N37" s="176"/>
      <c r="O37" s="176"/>
      <c r="P37" s="176"/>
      <c r="Q37" s="162"/>
      <c r="S37" s="104"/>
      <c r="T37" s="105"/>
      <c r="U37" s="105"/>
      <c r="V37" s="105"/>
      <c r="W37" s="105"/>
      <c r="X37" s="105"/>
      <c r="Y37" s="106"/>
    </row>
    <row r="38" spans="2:25">
      <c r="B38" s="80"/>
      <c r="C38" s="65"/>
      <c r="D38" s="65"/>
      <c r="E38" s="65"/>
      <c r="F38" s="65"/>
      <c r="G38" s="176"/>
      <c r="H38" s="176"/>
      <c r="I38" s="176"/>
      <c r="J38" s="176"/>
      <c r="K38" s="176"/>
      <c r="L38" s="176"/>
      <c r="M38" s="176"/>
      <c r="N38" s="176"/>
      <c r="O38" s="176"/>
      <c r="P38" s="176"/>
      <c r="Q38" s="162"/>
      <c r="S38" s="104"/>
      <c r="T38" s="105"/>
      <c r="U38" s="105"/>
      <c r="V38" s="105"/>
      <c r="W38" s="105"/>
      <c r="X38" s="105"/>
      <c r="Y38" s="106"/>
    </row>
    <row r="39" spans="2:25">
      <c r="B39" s="80"/>
      <c r="C39" s="65"/>
      <c r="D39" s="65"/>
      <c r="E39" s="65"/>
      <c r="F39" s="65"/>
      <c r="G39" s="176"/>
      <c r="H39" s="176"/>
      <c r="I39" s="176"/>
      <c r="J39" s="176"/>
      <c r="K39" s="176"/>
      <c r="L39" s="176"/>
      <c r="M39" s="176"/>
      <c r="N39" s="176"/>
      <c r="O39" s="176"/>
      <c r="P39" s="176"/>
      <c r="Q39" s="162"/>
      <c r="S39" s="104"/>
      <c r="T39" s="105"/>
      <c r="U39" s="105"/>
      <c r="V39" s="105"/>
      <c r="W39" s="105"/>
      <c r="X39" s="105"/>
      <c r="Y39" s="106"/>
    </row>
    <row r="40" spans="2:25">
      <c r="B40" s="80"/>
      <c r="C40" s="65"/>
      <c r="D40" s="65"/>
      <c r="E40" s="65"/>
      <c r="F40" s="65"/>
      <c r="G40" s="176"/>
      <c r="H40" s="176"/>
      <c r="I40" s="176"/>
      <c r="J40" s="176"/>
      <c r="K40" s="176"/>
      <c r="L40" s="176"/>
      <c r="M40" s="176"/>
      <c r="N40" s="176"/>
      <c r="O40" s="176"/>
      <c r="P40" s="176"/>
      <c r="Q40" s="162"/>
      <c r="S40" s="104"/>
      <c r="T40" s="105"/>
      <c r="U40" s="105"/>
      <c r="V40" s="105"/>
      <c r="W40" s="105"/>
      <c r="X40" s="105"/>
      <c r="Y40" s="106"/>
    </row>
    <row r="41" spans="2:25">
      <c r="B41" s="80"/>
      <c r="C41" s="65"/>
      <c r="D41" s="65"/>
      <c r="E41" s="65"/>
      <c r="F41" s="65"/>
      <c r="G41" s="176"/>
      <c r="H41" s="176"/>
      <c r="I41" s="176"/>
      <c r="J41" s="176"/>
      <c r="K41" s="176"/>
      <c r="L41" s="176"/>
      <c r="M41" s="176"/>
      <c r="N41" s="176"/>
      <c r="O41" s="176"/>
      <c r="P41" s="176"/>
      <c r="Q41" s="162"/>
      <c r="S41" s="104"/>
      <c r="T41" s="105"/>
      <c r="U41" s="105"/>
      <c r="V41" s="105"/>
      <c r="W41" s="105"/>
      <c r="X41" s="105"/>
      <c r="Y41" s="106"/>
    </row>
    <row r="42" spans="2:25">
      <c r="B42" s="80"/>
      <c r="C42" s="65"/>
      <c r="D42" s="65"/>
      <c r="E42" s="65"/>
      <c r="F42" s="65"/>
      <c r="G42" s="176"/>
      <c r="H42" s="176"/>
      <c r="I42" s="176"/>
      <c r="J42" s="176"/>
      <c r="K42" s="176"/>
      <c r="L42" s="176"/>
      <c r="M42" s="176"/>
      <c r="N42" s="176"/>
      <c r="O42" s="176"/>
      <c r="P42" s="176"/>
      <c r="Q42" s="162"/>
      <c r="S42" s="104"/>
      <c r="T42" s="105"/>
      <c r="U42" s="105"/>
      <c r="V42" s="105"/>
      <c r="W42" s="105"/>
      <c r="X42" s="105"/>
      <c r="Y42" s="106"/>
    </row>
    <row r="43" spans="2:25">
      <c r="B43" s="80"/>
      <c r="C43" s="65"/>
      <c r="D43" s="65"/>
      <c r="E43" s="65"/>
      <c r="F43" s="65"/>
      <c r="G43" s="176"/>
      <c r="H43" s="176"/>
      <c r="I43" s="176"/>
      <c r="J43" s="176"/>
      <c r="K43" s="176"/>
      <c r="L43" s="176"/>
      <c r="M43" s="176"/>
      <c r="N43" s="176"/>
      <c r="O43" s="176"/>
      <c r="P43" s="176"/>
      <c r="Q43" s="162"/>
      <c r="S43" s="104"/>
      <c r="T43" s="105"/>
      <c r="U43" s="105"/>
      <c r="V43" s="105"/>
      <c r="W43" s="105"/>
      <c r="X43" s="105"/>
      <c r="Y43" s="106"/>
    </row>
    <row r="44" spans="2:25">
      <c r="B44" s="80"/>
      <c r="C44" s="65"/>
      <c r="D44" s="65"/>
      <c r="E44" s="65"/>
      <c r="F44" s="65"/>
      <c r="G44" s="176"/>
      <c r="H44" s="176"/>
      <c r="I44" s="176"/>
      <c r="J44" s="176"/>
      <c r="K44" s="176"/>
      <c r="L44" s="176"/>
      <c r="M44" s="176"/>
      <c r="N44" s="176"/>
      <c r="O44" s="176"/>
      <c r="P44" s="176"/>
      <c r="Q44" s="162"/>
      <c r="S44" s="104"/>
      <c r="T44" s="105"/>
      <c r="U44" s="105"/>
      <c r="V44" s="105"/>
      <c r="W44" s="105"/>
      <c r="X44" s="105"/>
      <c r="Y44" s="106"/>
    </row>
    <row r="45" spans="2:25">
      <c r="B45" s="80"/>
      <c r="C45" s="65"/>
      <c r="D45" s="65"/>
      <c r="E45" s="65"/>
      <c r="F45" s="65"/>
      <c r="G45" s="176"/>
      <c r="H45" s="176"/>
      <c r="I45" s="176"/>
      <c r="J45" s="176"/>
      <c r="K45" s="176"/>
      <c r="L45" s="176"/>
      <c r="M45" s="176"/>
      <c r="N45" s="176"/>
      <c r="O45" s="176"/>
      <c r="P45" s="176"/>
      <c r="Q45" s="162"/>
      <c r="S45" s="104"/>
      <c r="T45" s="105"/>
      <c r="U45" s="105"/>
      <c r="V45" s="105"/>
      <c r="W45" s="105"/>
      <c r="X45" s="105"/>
      <c r="Y45" s="106"/>
    </row>
    <row r="46" spans="2:25">
      <c r="B46" s="80"/>
      <c r="C46" s="65"/>
      <c r="D46" s="65"/>
      <c r="E46" s="65"/>
      <c r="F46" s="65"/>
      <c r="G46" s="176"/>
      <c r="H46" s="176"/>
      <c r="I46" s="176"/>
      <c r="J46" s="176"/>
      <c r="K46" s="176"/>
      <c r="L46" s="176"/>
      <c r="M46" s="176"/>
      <c r="N46" s="176"/>
      <c r="O46" s="176"/>
      <c r="P46" s="176"/>
      <c r="Q46" s="162"/>
      <c r="S46" s="104"/>
      <c r="T46" s="105"/>
      <c r="U46" s="105"/>
      <c r="V46" s="105"/>
      <c r="W46" s="105"/>
      <c r="X46" s="105"/>
      <c r="Y46" s="106"/>
    </row>
    <row r="47" spans="2:25">
      <c r="B47" s="80"/>
      <c r="C47" s="65"/>
      <c r="D47" s="65"/>
      <c r="E47" s="65"/>
      <c r="F47" s="65"/>
      <c r="G47" s="176"/>
      <c r="H47" s="176"/>
      <c r="I47" s="176"/>
      <c r="J47" s="176"/>
      <c r="K47" s="176"/>
      <c r="L47" s="176"/>
      <c r="M47" s="176"/>
      <c r="N47" s="176"/>
      <c r="O47" s="176"/>
      <c r="P47" s="176"/>
      <c r="Q47" s="162"/>
      <c r="S47" s="104"/>
      <c r="T47" s="105"/>
      <c r="U47" s="105"/>
      <c r="V47" s="105"/>
      <c r="W47" s="105"/>
      <c r="X47" s="105"/>
      <c r="Y47" s="106"/>
    </row>
    <row r="48" spans="2:25">
      <c r="B48" s="80"/>
      <c r="C48" s="65"/>
      <c r="D48" s="65"/>
      <c r="E48" s="65"/>
      <c r="F48" s="65"/>
      <c r="G48" s="176"/>
      <c r="H48" s="176"/>
      <c r="I48" s="176"/>
      <c r="J48" s="176"/>
      <c r="K48" s="176"/>
      <c r="L48" s="176"/>
      <c r="M48" s="176"/>
      <c r="N48" s="176"/>
      <c r="O48" s="176"/>
      <c r="P48" s="176"/>
      <c r="Q48" s="162"/>
      <c r="S48" s="104"/>
      <c r="T48" s="105"/>
      <c r="U48" s="105"/>
      <c r="V48" s="105"/>
      <c r="W48" s="105"/>
      <c r="X48" s="105"/>
      <c r="Y48" s="106"/>
    </row>
    <row r="49" spans="2:25">
      <c r="B49" s="80"/>
      <c r="C49" s="65"/>
      <c r="D49" s="65"/>
      <c r="E49" s="65"/>
      <c r="F49" s="65"/>
      <c r="G49" s="176"/>
      <c r="H49" s="176"/>
      <c r="I49" s="176"/>
      <c r="J49" s="176"/>
      <c r="K49" s="176"/>
      <c r="L49" s="176"/>
      <c r="M49" s="176"/>
      <c r="N49" s="176"/>
      <c r="O49" s="176"/>
      <c r="P49" s="176"/>
      <c r="Q49" s="162"/>
      <c r="S49" s="104"/>
      <c r="T49" s="105"/>
      <c r="U49" s="105"/>
      <c r="V49" s="105"/>
      <c r="W49" s="105"/>
      <c r="X49" s="105"/>
      <c r="Y49" s="106"/>
    </row>
    <row r="50" spans="2:25">
      <c r="B50" s="80"/>
      <c r="C50" s="65"/>
      <c r="D50" s="65"/>
      <c r="E50" s="65"/>
      <c r="F50" s="65"/>
      <c r="G50" s="176"/>
      <c r="H50" s="176"/>
      <c r="I50" s="176"/>
      <c r="J50" s="176"/>
      <c r="K50" s="176"/>
      <c r="L50" s="176"/>
      <c r="M50" s="176"/>
      <c r="N50" s="176"/>
      <c r="O50" s="176"/>
      <c r="P50" s="176"/>
      <c r="Q50" s="162"/>
      <c r="S50" s="104"/>
      <c r="T50" s="105"/>
      <c r="U50" s="105"/>
      <c r="V50" s="105"/>
      <c r="W50" s="105"/>
      <c r="X50" s="105"/>
      <c r="Y50" s="106"/>
    </row>
    <row r="51" spans="2:25">
      <c r="B51" s="80"/>
      <c r="C51" s="65"/>
      <c r="D51" s="65"/>
      <c r="E51" s="65"/>
      <c r="F51" s="65"/>
      <c r="G51" s="176"/>
      <c r="H51" s="176"/>
      <c r="I51" s="176"/>
      <c r="J51" s="176"/>
      <c r="K51" s="176"/>
      <c r="L51" s="176"/>
      <c r="M51" s="176"/>
      <c r="N51" s="176"/>
      <c r="O51" s="176"/>
      <c r="P51" s="176"/>
      <c r="Q51" s="162"/>
      <c r="S51" s="104"/>
      <c r="T51" s="105"/>
      <c r="U51" s="105"/>
      <c r="V51" s="105"/>
      <c r="W51" s="105"/>
      <c r="X51" s="105"/>
      <c r="Y51" s="106"/>
    </row>
    <row r="52" spans="2:25">
      <c r="B52" s="80"/>
      <c r="C52" s="65"/>
      <c r="D52" s="65"/>
      <c r="E52" s="65"/>
      <c r="F52" s="65"/>
      <c r="G52" s="176"/>
      <c r="H52" s="176"/>
      <c r="I52" s="176"/>
      <c r="J52" s="176"/>
      <c r="K52" s="176"/>
      <c r="L52" s="176"/>
      <c r="M52" s="176"/>
      <c r="N52" s="176"/>
      <c r="O52" s="176"/>
      <c r="P52" s="176"/>
      <c r="Q52" s="162"/>
      <c r="S52" s="104"/>
      <c r="T52" s="105"/>
      <c r="U52" s="105"/>
      <c r="V52" s="105"/>
      <c r="W52" s="105"/>
      <c r="X52" s="105"/>
      <c r="Y52" s="106"/>
    </row>
    <row r="53" spans="2:25">
      <c r="B53" s="80"/>
      <c r="C53" s="65"/>
      <c r="D53" s="65"/>
      <c r="E53" s="65"/>
      <c r="F53" s="65"/>
      <c r="G53" s="176"/>
      <c r="H53" s="176"/>
      <c r="I53" s="176"/>
      <c r="J53" s="176"/>
      <c r="K53" s="176"/>
      <c r="L53" s="176"/>
      <c r="M53" s="176"/>
      <c r="N53" s="176"/>
      <c r="O53" s="176"/>
      <c r="P53" s="176"/>
      <c r="Q53" s="162"/>
      <c r="S53" s="104"/>
      <c r="T53" s="105"/>
      <c r="U53" s="105"/>
      <c r="V53" s="105"/>
      <c r="W53" s="105"/>
      <c r="X53" s="105"/>
      <c r="Y53" s="106"/>
    </row>
    <row r="54" spans="2:25">
      <c r="B54" s="80"/>
      <c r="C54" s="65"/>
      <c r="D54" s="65"/>
      <c r="E54" s="65"/>
      <c r="F54" s="65"/>
      <c r="G54" s="176"/>
      <c r="H54" s="176"/>
      <c r="I54" s="176"/>
      <c r="J54" s="176"/>
      <c r="K54" s="176"/>
      <c r="L54" s="176"/>
      <c r="M54" s="176"/>
      <c r="N54" s="176"/>
      <c r="O54" s="176"/>
      <c r="P54" s="176"/>
      <c r="Q54" s="162"/>
      <c r="S54" s="104"/>
      <c r="T54" s="105"/>
      <c r="U54" s="105"/>
      <c r="V54" s="105"/>
      <c r="W54" s="105"/>
      <c r="X54" s="105"/>
      <c r="Y54" s="106"/>
    </row>
    <row r="55" spans="2:25">
      <c r="B55" s="80"/>
      <c r="C55" s="65"/>
      <c r="D55" s="65"/>
      <c r="E55" s="65"/>
      <c r="F55" s="65"/>
      <c r="G55" s="176"/>
      <c r="H55" s="176"/>
      <c r="I55" s="176"/>
      <c r="J55" s="176"/>
      <c r="K55" s="176"/>
      <c r="L55" s="176"/>
      <c r="M55" s="176"/>
      <c r="N55" s="176"/>
      <c r="O55" s="176"/>
      <c r="P55" s="176"/>
      <c r="Q55" s="162"/>
      <c r="S55" s="104"/>
      <c r="T55" s="105"/>
      <c r="U55" s="105"/>
      <c r="V55" s="105"/>
      <c r="W55" s="105"/>
      <c r="X55" s="105"/>
      <c r="Y55" s="106"/>
    </row>
    <row r="56" spans="2:25">
      <c r="B56" s="80"/>
      <c r="C56" s="65"/>
      <c r="D56" s="65"/>
      <c r="E56" s="65"/>
      <c r="F56" s="65"/>
      <c r="G56" s="176"/>
      <c r="H56" s="176"/>
      <c r="I56" s="176"/>
      <c r="J56" s="176"/>
      <c r="K56" s="176"/>
      <c r="L56" s="176"/>
      <c r="M56" s="176"/>
      <c r="N56" s="176"/>
      <c r="O56" s="176"/>
      <c r="P56" s="176"/>
      <c r="Q56" s="162"/>
      <c r="S56" s="104"/>
      <c r="T56" s="105"/>
      <c r="U56" s="105"/>
      <c r="V56" s="105"/>
      <c r="W56" s="105"/>
      <c r="X56" s="105"/>
      <c r="Y56" s="106"/>
    </row>
    <row r="57" spans="2:25">
      <c r="B57" s="80"/>
      <c r="C57" s="65"/>
      <c r="D57" s="65"/>
      <c r="E57" s="65"/>
      <c r="F57" s="65"/>
      <c r="G57" s="176"/>
      <c r="H57" s="176"/>
      <c r="I57" s="176"/>
      <c r="J57" s="176"/>
      <c r="K57" s="176"/>
      <c r="L57" s="176"/>
      <c r="M57" s="176"/>
      <c r="N57" s="176"/>
      <c r="O57" s="176"/>
      <c r="P57" s="176"/>
      <c r="Q57" s="162"/>
      <c r="S57" s="104"/>
      <c r="T57" s="105"/>
      <c r="U57" s="105"/>
      <c r="V57" s="105"/>
      <c r="W57" s="105"/>
      <c r="X57" s="105"/>
      <c r="Y57" s="106"/>
    </row>
    <row r="58" spans="2:25">
      <c r="B58" s="80"/>
      <c r="C58" s="65"/>
      <c r="D58" s="65"/>
      <c r="E58" s="65"/>
      <c r="F58" s="65"/>
      <c r="G58" s="176"/>
      <c r="H58" s="176"/>
      <c r="I58" s="176"/>
      <c r="J58" s="176"/>
      <c r="K58" s="176"/>
      <c r="L58" s="176"/>
      <c r="M58" s="176"/>
      <c r="N58" s="176"/>
      <c r="O58" s="176"/>
      <c r="P58" s="176"/>
      <c r="Q58" s="162"/>
      <c r="S58" s="104"/>
      <c r="T58" s="105"/>
      <c r="U58" s="105"/>
      <c r="V58" s="105"/>
      <c r="W58" s="105"/>
      <c r="X58" s="105"/>
      <c r="Y58" s="106"/>
    </row>
    <row r="59" spans="2:25">
      <c r="B59" s="80"/>
      <c r="C59" s="65"/>
      <c r="D59" s="65"/>
      <c r="E59" s="65"/>
      <c r="F59" s="65"/>
      <c r="G59" s="176"/>
      <c r="H59" s="176"/>
      <c r="I59" s="176"/>
      <c r="J59" s="176"/>
      <c r="K59" s="176"/>
      <c r="L59" s="176"/>
      <c r="M59" s="176"/>
      <c r="N59" s="176"/>
      <c r="O59" s="176"/>
      <c r="P59" s="176"/>
      <c r="Q59" s="162"/>
      <c r="S59" s="104"/>
      <c r="T59" s="105"/>
      <c r="U59" s="105"/>
      <c r="V59" s="105"/>
      <c r="W59" s="105"/>
      <c r="X59" s="105"/>
      <c r="Y59" s="106"/>
    </row>
    <row r="60" spans="2:25">
      <c r="B60" s="80"/>
      <c r="C60" s="65"/>
      <c r="D60" s="65"/>
      <c r="E60" s="65"/>
      <c r="F60" s="65"/>
      <c r="G60" s="176"/>
      <c r="H60" s="176"/>
      <c r="I60" s="176"/>
      <c r="J60" s="176"/>
      <c r="K60" s="176"/>
      <c r="L60" s="176"/>
      <c r="M60" s="176"/>
      <c r="N60" s="176"/>
      <c r="O60" s="176"/>
      <c r="P60" s="176"/>
      <c r="Q60" s="162"/>
      <c r="S60" s="104"/>
      <c r="T60" s="105"/>
      <c r="U60" s="105"/>
      <c r="V60" s="105"/>
      <c r="W60" s="105"/>
      <c r="X60" s="105"/>
      <c r="Y60" s="106"/>
    </row>
    <row r="61" spans="2:25">
      <c r="B61" s="80"/>
      <c r="C61" s="65"/>
      <c r="D61" s="65"/>
      <c r="E61" s="65"/>
      <c r="F61" s="65"/>
      <c r="G61" s="176"/>
      <c r="H61" s="176"/>
      <c r="I61" s="176"/>
      <c r="J61" s="176"/>
      <c r="K61" s="176"/>
      <c r="L61" s="176"/>
      <c r="M61" s="176"/>
      <c r="N61" s="176"/>
      <c r="O61" s="176"/>
      <c r="P61" s="176"/>
      <c r="Q61" s="162"/>
      <c r="S61" s="104"/>
      <c r="T61" s="105"/>
      <c r="U61" s="105"/>
      <c r="V61" s="105"/>
      <c r="W61" s="105"/>
      <c r="X61" s="105"/>
      <c r="Y61" s="106"/>
    </row>
    <row r="62" spans="2:25">
      <c r="S62" s="104"/>
      <c r="T62" s="105"/>
      <c r="U62" s="105"/>
      <c r="V62" s="105"/>
      <c r="W62" s="105"/>
      <c r="X62" s="105"/>
      <c r="Y62" s="106"/>
    </row>
    <row r="63" spans="2:25">
      <c r="S63" s="107"/>
      <c r="T63" s="108"/>
      <c r="U63" s="108"/>
      <c r="V63" s="108"/>
      <c r="W63" s="108"/>
      <c r="X63" s="108"/>
      <c r="Y63" s="109"/>
    </row>
  </sheetData>
  <mergeCells count="14">
    <mergeCell ref="B7:C7"/>
    <mergeCell ref="B8:C8"/>
    <mergeCell ref="D8:F8"/>
    <mergeCell ref="S10:Y10"/>
    <mergeCell ref="B3:C3"/>
    <mergeCell ref="T3:Y3"/>
    <mergeCell ref="B4:C4"/>
    <mergeCell ref="T4:Y4"/>
    <mergeCell ref="B5:C5"/>
    <mergeCell ref="G5:G8"/>
    <mergeCell ref="H5:J8"/>
    <mergeCell ref="S5:S8"/>
    <mergeCell ref="T5:Y8"/>
    <mergeCell ref="B6:C6"/>
  </mergeCells>
  <phoneticPr fontId="1"/>
  <conditionalFormatting sqref="F3:G3">
    <cfRule type="cellIs" dxfId="3" priority="2" operator="equal">
      <formula>"マスタデータ"</formula>
    </cfRule>
  </conditionalFormatting>
  <conditionalFormatting sqref="S3">
    <cfRule type="cellIs" dxfId="2" priority="1" operator="equal">
      <formula>"マスタデータ"</formula>
    </cfRule>
  </conditionalFormatting>
  <dataValidations count="16">
    <dataValidation type="list" allowBlank="1" showInputMessage="1" showErrorMessage="1" sqref="G12:G61" xr:uid="{C08DD084-625F-8548-9A2C-9519E69772BF}">
      <formula1>"1,2,3,4,5"</formula1>
    </dataValidation>
    <dataValidation allowBlank="1" showInputMessage="1" showErrorMessage="1" prompt="インデックスの指定は最大10個まで対応しています。" sqref="Q12:Q61" xr:uid="{149FDB80-3C1D-3F4F-90E4-96E39A0F0B9B}"/>
    <dataValidation allowBlank="1" showInputMessage="1" showErrorMessage="1" promptTitle="物理テーブル名の入力ルール" prompt="先頭4文字は、必ず「アルファベット1文字」「数字3桁」で入力してください。_x000a_例）「m001_usr_masters」_x000a_理由）出力時のシート名で利用、かつインデックスの識別子（一部）に利用します。" sqref="D6" xr:uid="{94709098-59E2-9B4B-B5CE-74AF4A859F2E}"/>
    <dataValidation type="list" allowBlank="1" showInputMessage="1" showErrorMessage="1" prompt="インデックスの指定は最大10個まで対応しています。" sqref="N12:P61" xr:uid="{49C0A1E4-FEB4-2E40-8041-7C216F65B536}">
      <formula1>"1,2,3,4,5,6,7,8,9,10"</formula1>
    </dataValidation>
    <dataValidation type="list" allowBlank="1" showInputMessage="1" showErrorMessage="1" sqref="M12:M61" xr:uid="{98B781E6-E3C4-1543-B36C-3616E227A43B}">
      <formula1>"ZEROFILL"</formula1>
    </dataValidation>
    <dataValidation type="list" allowBlank="1" showInputMessage="1" showErrorMessage="1" sqref="L12:L61" xr:uid="{627B346F-9CD1-7F41-9F97-8FB6F5906E74}">
      <formula1>"UNSIGNED"</formula1>
    </dataValidation>
    <dataValidation imeMode="halfAlpha" allowBlank="1" showInputMessage="1" showErrorMessage="1" sqref="K12:K61" xr:uid="{9B2AB30C-AB0B-104D-AF05-57AB941D0CB4}"/>
    <dataValidation type="list" allowBlank="1" showInputMessage="1" showErrorMessage="1" sqref="J12:J61" xr:uid="{2AF57083-A7AE-1946-8854-782F55E0FE09}">
      <formula1>"NOT NULL"</formula1>
    </dataValidation>
    <dataValidation type="list" allowBlank="1" showInputMessage="1" showErrorMessage="1" promptTitle="主キー（または複合主キー）の入力" prompt="主キーの場合は「1」を入力、_x000a_複合主キーの場合は 1〜5までの数字で入力してください。" sqref="G12:G61" xr:uid="{3FC62198-8448-5C46-992C-4AC8224305C4}">
      <formula1>"1,2,3,4,5"</formula1>
    </dataValidation>
    <dataValidation type="list" allowBlank="1" showInputMessage="1" showErrorMessage="1" sqref="F6" xr:uid="{E1FF16BE-2AA0-2A4C-84F6-3ADC207E427D}">
      <formula1>ENGINE</formula1>
    </dataValidation>
    <dataValidation type="list" allowBlank="1" showInputMessage="1" showErrorMessage="1" sqref="F7" xr:uid="{F3013BB0-CE0D-1F4F-8C85-D2DBC8A252A3}">
      <formula1>Charset_List</formula1>
    </dataValidation>
    <dataValidation type="list" allowBlank="1" showInputMessage="1" showErrorMessage="1" sqref="F5" xr:uid="{CA8E90E1-0650-804C-AD7A-4DC27708AA76}">
      <formula1>MySQL_Ver</formula1>
    </dataValidation>
    <dataValidation type="list" allowBlank="1" showInputMessage="1" showErrorMessage="1" prompt="型分類を選択してから、データ型を選択してください。" sqref="F12:F61" xr:uid="{1B46DCB4-2C5F-4147-8376-3514EF39FC67}">
      <formula1>INDIRECT($E12)</formula1>
    </dataValidation>
    <dataValidation type="list" allowBlank="1" showInputMessage="1" showErrorMessage="1" sqref="E12:E61" xr:uid="{EB42C982-31A1-9A45-A318-9E1E04CBD8E1}">
      <formula1>DataTypeCategory</formula1>
    </dataValidation>
    <dataValidation type="list" allowBlank="1" showInputMessage="1" showErrorMessage="1" sqref="F4" xr:uid="{19E8F74B-3CEB-004A-B24F-A5E61DB99513}">
      <formula1>"TEMPORARY TABLE, TABLE"</formula1>
    </dataValidation>
    <dataValidation type="list" allowBlank="1" showInputMessage="1" showErrorMessage="1" sqref="F3" xr:uid="{7398A33E-607E-FC4C-A5BE-A6E10E061818}">
      <formula1>"マスタデータ,トランザクションデータ"</formula1>
    </dataValidation>
  </dataValidation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CreateSQL_ButtonClick">
                <anchor moveWithCells="1">
                  <from>
                    <xdr:col>10</xdr:col>
                    <xdr:colOff>292100</xdr:colOff>
                    <xdr:row>2</xdr:row>
                    <xdr:rowOff>0</xdr:rowOff>
                  </from>
                  <to>
                    <xdr:col>15</xdr:col>
                    <xdr:colOff>114300</xdr:colOff>
                    <xdr:row>8</xdr:row>
                    <xdr:rowOff>0</xdr:rowOff>
                  </to>
                </anchor>
              </controlPr>
            </control>
          </mc:Choice>
        </mc:AlternateContent>
        <mc:AlternateContent xmlns:mc="http://schemas.openxmlformats.org/markup-compatibility/2006">
          <mc:Choice Requires="x14">
            <control shapeId="9218" r:id="rId4" name="Button 2">
              <controlPr defaultSize="0" print="0" autoFill="0" autoPict="0" macro="[0]!CopyCreateSQL_ButtonClick">
                <anchor moveWithCells="1">
                  <from>
                    <xdr:col>25</xdr:col>
                    <xdr:colOff>292100</xdr:colOff>
                    <xdr:row>9</xdr:row>
                    <xdr:rowOff>0</xdr:rowOff>
                  </from>
                  <to>
                    <xdr:col>27</xdr:col>
                    <xdr:colOff>584200</xdr:colOff>
                    <xdr:row>11</xdr:row>
                    <xdr:rowOff>0</xdr:rowOff>
                  </to>
                </anchor>
              </controlPr>
            </control>
          </mc:Choice>
        </mc:AlternateContent>
        <mc:AlternateContent xmlns:mc="http://schemas.openxmlformats.org/markup-compatibility/2006">
          <mc:Choice Requires="x14">
            <control shapeId="9219" r:id="rId5" name="Button 3">
              <controlPr defaultSize="0" print="0" autoFill="0" autoPict="0" macro="[0]!BackInputForm_ButtonClick">
                <anchor moveWithCells="1">
                  <from>
                    <xdr:col>25</xdr:col>
                    <xdr:colOff>292100</xdr:colOff>
                    <xdr:row>4</xdr:row>
                    <xdr:rowOff>0</xdr:rowOff>
                  </from>
                  <to>
                    <xdr:col>27</xdr:col>
                    <xdr:colOff>584200</xdr:colOff>
                    <xdr:row>7</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F10E6-854B-684C-B3A7-C249148A6B16}">
  <sheetPr codeName="Sheet8"/>
  <dimension ref="A1:AC63"/>
  <sheetViews>
    <sheetView showGridLines="0" zoomScale="86" workbookViewId="0">
      <selection activeCell="F40" sqref="F40"/>
    </sheetView>
  </sheetViews>
  <sheetFormatPr baseColWidth="10" defaultColWidth="11.5703125" defaultRowHeight="18"/>
  <cols>
    <col min="1" max="1" width="1.5703125" style="2" customWidth="1"/>
    <col min="2" max="2" width="4.140625" style="2" customWidth="1"/>
    <col min="3" max="3" width="17.85546875" style="58" customWidth="1"/>
    <col min="4" max="4" width="18.42578125" style="58" bestFit="1" customWidth="1"/>
    <col min="5" max="5" width="14.5703125" style="58" customWidth="1"/>
    <col min="6" max="6" width="25.85546875" style="58" bestFit="1" customWidth="1"/>
    <col min="7" max="7" width="9.7109375" style="90" bestFit="1" customWidth="1"/>
    <col min="8" max="8" width="12" style="90" bestFit="1" customWidth="1"/>
    <col min="9" max="9" width="9.5703125" style="90" bestFit="1" customWidth="1"/>
    <col min="10" max="10" width="11" style="90" customWidth="1"/>
    <col min="11" max="11" width="8.7109375" style="90" bestFit="1" customWidth="1"/>
    <col min="12" max="12" width="10.28515625" style="90" bestFit="1" customWidth="1"/>
    <col min="13" max="13" width="9.42578125" style="90" bestFit="1" customWidth="1"/>
    <col min="14" max="16" width="6.7109375" style="90" bestFit="1" customWidth="1"/>
    <col min="17" max="17" width="7.85546875" style="90" hidden="1" customWidth="1"/>
    <col min="18" max="18" width="1.7109375" style="2" customWidth="1"/>
    <col min="19" max="16384" width="11.5703125" style="2"/>
  </cols>
  <sheetData>
    <row r="1" spans="1:29" ht="25">
      <c r="A1" s="148"/>
      <c r="B1" s="98" t="str">
        <f>IF(D6&lt;&gt;"",LEFT(D6,4),"") &amp;" テーブル定義書"</f>
        <v xml:space="preserve"> テーブル定義書</v>
      </c>
      <c r="C1" s="100"/>
      <c r="D1" s="100"/>
      <c r="E1" s="100"/>
      <c r="F1" s="100"/>
      <c r="G1" s="99"/>
      <c r="H1" s="99"/>
      <c r="I1" s="99"/>
      <c r="J1" s="99"/>
      <c r="K1" s="99"/>
      <c r="L1" s="99"/>
      <c r="M1" s="99"/>
      <c r="N1" s="99"/>
      <c r="O1" s="99"/>
      <c r="P1" s="99"/>
      <c r="Q1" s="99"/>
      <c r="R1" s="148"/>
      <c r="S1" s="98" t="s">
        <v>393</v>
      </c>
      <c r="T1" s="99"/>
      <c r="U1" s="99"/>
      <c r="V1" s="99"/>
      <c r="W1" s="99"/>
      <c r="X1" s="99"/>
      <c r="Y1" s="99"/>
    </row>
    <row r="2" spans="1:29" ht="24" customHeight="1">
      <c r="B2" s="149" t="s">
        <v>376</v>
      </c>
      <c r="C2" s="67"/>
      <c r="D2" s="67"/>
      <c r="E2" s="67"/>
      <c r="F2" s="67"/>
      <c r="H2" s="89"/>
      <c r="J2" s="97" t="s">
        <v>390</v>
      </c>
      <c r="S2" s="83" t="s">
        <v>451</v>
      </c>
    </row>
    <row r="3" spans="1:29">
      <c r="B3" s="188" t="s">
        <v>167</v>
      </c>
      <c r="C3" s="189"/>
      <c r="D3" s="85"/>
      <c r="E3" s="3" t="s">
        <v>353</v>
      </c>
      <c r="F3" s="86"/>
      <c r="G3" s="3" t="s">
        <v>7</v>
      </c>
      <c r="H3" s="94"/>
      <c r="I3" s="3" t="s">
        <v>149</v>
      </c>
      <c r="J3" s="86"/>
      <c r="S3" s="3" t="s">
        <v>498</v>
      </c>
      <c r="T3" s="190"/>
      <c r="U3" s="190"/>
      <c r="V3" s="190"/>
      <c r="W3" s="190"/>
      <c r="X3" s="190"/>
      <c r="Y3" s="190"/>
    </row>
    <row r="4" spans="1:29">
      <c r="B4" s="188" t="s">
        <v>168</v>
      </c>
      <c r="C4" s="189"/>
      <c r="D4" s="85"/>
      <c r="E4" s="3" t="s">
        <v>497</v>
      </c>
      <c r="F4" s="170"/>
      <c r="G4" s="3" t="s">
        <v>367</v>
      </c>
      <c r="H4" s="86"/>
      <c r="I4" s="3" t="s">
        <v>150</v>
      </c>
      <c r="J4" s="86"/>
      <c r="L4" s="91"/>
      <c r="M4" s="91"/>
      <c r="N4" s="91"/>
      <c r="S4" s="3" t="s">
        <v>499</v>
      </c>
      <c r="T4" s="187"/>
      <c r="U4" s="187"/>
      <c r="V4" s="187"/>
      <c r="W4" s="187"/>
      <c r="X4" s="187"/>
      <c r="Y4" s="187"/>
    </row>
    <row r="5" spans="1:29" ht="20" customHeight="1">
      <c r="B5" s="188" t="s">
        <v>379</v>
      </c>
      <c r="C5" s="189"/>
      <c r="D5" s="86"/>
      <c r="E5" s="3" t="s">
        <v>383</v>
      </c>
      <c r="F5" s="87"/>
      <c r="G5" s="193" t="s">
        <v>351</v>
      </c>
      <c r="H5" s="194"/>
      <c r="I5" s="194"/>
      <c r="J5" s="194"/>
      <c r="L5" s="82"/>
      <c r="M5" s="82"/>
      <c r="N5" s="82"/>
      <c r="S5" s="193" t="s">
        <v>500</v>
      </c>
      <c r="T5" s="191"/>
      <c r="U5" s="192"/>
      <c r="V5" s="192"/>
      <c r="W5" s="192"/>
      <c r="X5" s="192"/>
      <c r="Y5" s="192"/>
    </row>
    <row r="6" spans="1:29" ht="20" customHeight="1">
      <c r="B6" s="188" t="s">
        <v>380</v>
      </c>
      <c r="C6" s="189"/>
      <c r="D6" s="88"/>
      <c r="E6" s="3" t="s">
        <v>384</v>
      </c>
      <c r="F6" s="88"/>
      <c r="G6" s="193"/>
      <c r="H6" s="194"/>
      <c r="I6" s="194"/>
      <c r="J6" s="194"/>
      <c r="L6" s="82"/>
      <c r="M6" s="82"/>
      <c r="N6" s="82"/>
      <c r="S6" s="193"/>
      <c r="T6" s="192"/>
      <c r="U6" s="192"/>
      <c r="V6" s="192"/>
      <c r="W6" s="192"/>
      <c r="X6" s="192"/>
      <c r="Y6" s="192"/>
    </row>
    <row r="7" spans="1:29" ht="20" customHeight="1">
      <c r="B7" s="188" t="s">
        <v>381</v>
      </c>
      <c r="C7" s="189"/>
      <c r="D7" s="88"/>
      <c r="E7" s="3" t="s">
        <v>385</v>
      </c>
      <c r="F7" s="88"/>
      <c r="G7" s="193"/>
      <c r="H7" s="194"/>
      <c r="I7" s="194"/>
      <c r="J7" s="194"/>
      <c r="L7" s="82"/>
      <c r="M7" s="82"/>
      <c r="N7" s="82"/>
      <c r="S7" s="193"/>
      <c r="T7" s="192"/>
      <c r="U7" s="192"/>
      <c r="V7" s="192"/>
      <c r="W7" s="192"/>
      <c r="X7" s="192"/>
      <c r="Y7" s="192"/>
    </row>
    <row r="8" spans="1:29" ht="21" customHeight="1">
      <c r="B8" s="188" t="s">
        <v>382</v>
      </c>
      <c r="C8" s="189"/>
      <c r="D8" s="184"/>
      <c r="E8" s="185"/>
      <c r="F8" s="186"/>
      <c r="G8" s="193"/>
      <c r="H8" s="194"/>
      <c r="I8" s="194"/>
      <c r="J8" s="194"/>
      <c r="L8" s="82"/>
      <c r="M8" s="82"/>
      <c r="N8" s="82"/>
      <c r="S8" s="193"/>
      <c r="T8" s="192"/>
      <c r="U8" s="192"/>
      <c r="V8" s="192"/>
      <c r="W8" s="192"/>
      <c r="X8" s="192"/>
      <c r="Y8" s="192"/>
    </row>
    <row r="9" spans="1:29">
      <c r="J9" s="95"/>
      <c r="L9" s="91"/>
      <c r="M9" s="91"/>
      <c r="N9" s="91"/>
      <c r="S9" s="83" t="s">
        <v>452</v>
      </c>
    </row>
    <row r="10" spans="1:29">
      <c r="B10" s="83" t="s">
        <v>152</v>
      </c>
      <c r="H10" s="96" t="s">
        <v>392</v>
      </c>
      <c r="I10" s="96" t="s">
        <v>391</v>
      </c>
      <c r="J10" s="96" t="s">
        <v>391</v>
      </c>
      <c r="K10" s="96" t="s">
        <v>391</v>
      </c>
      <c r="L10" s="96" t="s">
        <v>391</v>
      </c>
      <c r="M10" s="96" t="s">
        <v>391</v>
      </c>
      <c r="Q10" s="96" t="s">
        <v>395</v>
      </c>
      <c r="S10" s="182" t="s">
        <v>414</v>
      </c>
      <c r="T10" s="183"/>
      <c r="U10" s="183"/>
      <c r="V10" s="183"/>
      <c r="W10" s="183"/>
      <c r="X10" s="183"/>
      <c r="Y10" s="183"/>
      <c r="AC10" s="2" t="s">
        <v>503</v>
      </c>
    </row>
    <row r="11" spans="1:29" s="84" customFormat="1" ht="51">
      <c r="B11" s="92" t="s">
        <v>6</v>
      </c>
      <c r="C11" s="93" t="s">
        <v>386</v>
      </c>
      <c r="D11" s="93" t="s">
        <v>387</v>
      </c>
      <c r="E11" s="93" t="s">
        <v>388</v>
      </c>
      <c r="F11" s="93" t="s">
        <v>389</v>
      </c>
      <c r="G11" s="163" t="s">
        <v>372</v>
      </c>
      <c r="H11" s="164" t="s">
        <v>486</v>
      </c>
      <c r="I11" s="165" t="s">
        <v>487</v>
      </c>
      <c r="J11" s="165" t="s">
        <v>373</v>
      </c>
      <c r="K11" s="165" t="s">
        <v>488</v>
      </c>
      <c r="L11" s="166" t="s">
        <v>484</v>
      </c>
      <c r="M11" s="166" t="s">
        <v>485</v>
      </c>
      <c r="N11" s="167" t="s">
        <v>448</v>
      </c>
      <c r="O11" s="167" t="s">
        <v>449</v>
      </c>
      <c r="P11" s="167" t="s">
        <v>450</v>
      </c>
      <c r="Q11" s="166" t="s">
        <v>394</v>
      </c>
      <c r="S11" s="101"/>
      <c r="T11" s="102"/>
      <c r="U11" s="102"/>
      <c r="V11" s="102"/>
      <c r="W11" s="102"/>
      <c r="X11" s="102"/>
      <c r="Y11" s="103"/>
    </row>
    <row r="12" spans="1:29">
      <c r="B12" s="80"/>
      <c r="C12" s="65"/>
      <c r="D12" s="65"/>
      <c r="E12" s="65"/>
      <c r="F12" s="65"/>
      <c r="G12" s="175"/>
      <c r="H12" s="175"/>
      <c r="I12" s="175"/>
      <c r="J12" s="175"/>
      <c r="K12" s="175"/>
      <c r="L12" s="175"/>
      <c r="M12" s="175"/>
      <c r="N12" s="175"/>
      <c r="O12" s="175"/>
      <c r="P12" s="175"/>
      <c r="Q12" s="162"/>
      <c r="S12" s="104"/>
      <c r="T12" s="105"/>
      <c r="U12" s="105"/>
      <c r="V12" s="105"/>
      <c r="W12" s="105"/>
      <c r="X12" s="105"/>
      <c r="Y12" s="106"/>
    </row>
    <row r="13" spans="1:29">
      <c r="B13" s="80"/>
      <c r="C13" s="65"/>
      <c r="D13" s="65"/>
      <c r="E13" s="65"/>
      <c r="F13" s="65"/>
      <c r="G13" s="175"/>
      <c r="H13" s="175"/>
      <c r="I13" s="175"/>
      <c r="J13" s="175"/>
      <c r="K13" s="175"/>
      <c r="L13" s="175"/>
      <c r="M13" s="175"/>
      <c r="N13" s="175"/>
      <c r="O13" s="175"/>
      <c r="P13" s="175"/>
      <c r="Q13" s="162"/>
      <c r="S13" s="104"/>
      <c r="T13" s="105"/>
      <c r="U13" s="105"/>
      <c r="V13" s="105"/>
      <c r="W13" s="105"/>
      <c r="X13" s="105"/>
      <c r="Y13" s="106"/>
    </row>
    <row r="14" spans="1:29">
      <c r="B14" s="80"/>
      <c r="C14" s="65"/>
      <c r="D14" s="65"/>
      <c r="E14" s="65"/>
      <c r="F14" s="65"/>
      <c r="G14" s="175"/>
      <c r="H14" s="175"/>
      <c r="I14" s="175"/>
      <c r="J14" s="175"/>
      <c r="K14" s="175"/>
      <c r="L14" s="175"/>
      <c r="M14" s="175"/>
      <c r="N14" s="175"/>
      <c r="O14" s="175"/>
      <c r="P14" s="175"/>
      <c r="Q14" s="162"/>
      <c r="S14" s="104"/>
      <c r="T14" s="105"/>
      <c r="U14" s="105"/>
      <c r="V14" s="105"/>
      <c r="W14" s="105"/>
      <c r="X14" s="105"/>
      <c r="Y14" s="106"/>
    </row>
    <row r="15" spans="1:29">
      <c r="B15" s="80"/>
      <c r="C15" s="65"/>
      <c r="D15" s="65"/>
      <c r="E15" s="65"/>
      <c r="F15" s="65"/>
      <c r="G15" s="175"/>
      <c r="H15" s="175"/>
      <c r="I15" s="175"/>
      <c r="J15" s="175"/>
      <c r="K15" s="175"/>
      <c r="L15" s="175"/>
      <c r="M15" s="175"/>
      <c r="N15" s="175"/>
      <c r="O15" s="175"/>
      <c r="P15" s="175"/>
      <c r="Q15" s="162"/>
      <c r="S15" s="104"/>
      <c r="T15" s="105"/>
      <c r="U15" s="105"/>
      <c r="V15" s="105"/>
      <c r="W15" s="105"/>
      <c r="X15" s="105"/>
      <c r="Y15" s="106"/>
    </row>
    <row r="16" spans="1:29">
      <c r="B16" s="80"/>
      <c r="C16" s="65"/>
      <c r="D16" s="65"/>
      <c r="E16" s="65"/>
      <c r="F16" s="65"/>
      <c r="G16" s="175"/>
      <c r="H16" s="175"/>
      <c r="I16" s="175"/>
      <c r="J16" s="175"/>
      <c r="K16" s="175"/>
      <c r="L16" s="175"/>
      <c r="M16" s="175"/>
      <c r="N16" s="175"/>
      <c r="O16" s="175"/>
      <c r="P16" s="175"/>
      <c r="Q16" s="162"/>
      <c r="S16" s="104"/>
      <c r="T16" s="105"/>
      <c r="U16" s="105"/>
      <c r="V16" s="105"/>
      <c r="W16" s="105"/>
      <c r="X16" s="105"/>
      <c r="Y16" s="106"/>
    </row>
    <row r="17" spans="2:25">
      <c r="B17" s="80"/>
      <c r="C17" s="65"/>
      <c r="D17" s="65"/>
      <c r="E17" s="65"/>
      <c r="F17" s="65"/>
      <c r="G17" s="175"/>
      <c r="H17" s="175"/>
      <c r="I17" s="175"/>
      <c r="J17" s="175"/>
      <c r="K17" s="175"/>
      <c r="L17" s="175"/>
      <c r="M17" s="175"/>
      <c r="N17" s="175"/>
      <c r="O17" s="175"/>
      <c r="P17" s="175"/>
      <c r="Q17" s="162"/>
      <c r="S17" s="104"/>
      <c r="T17" s="105"/>
      <c r="U17" s="105"/>
      <c r="V17" s="105"/>
      <c r="W17" s="105"/>
      <c r="X17" s="105"/>
      <c r="Y17" s="106"/>
    </row>
    <row r="18" spans="2:25">
      <c r="B18" s="80"/>
      <c r="C18" s="65"/>
      <c r="D18" s="65"/>
      <c r="E18" s="65"/>
      <c r="F18" s="65"/>
      <c r="G18" s="175"/>
      <c r="H18" s="175"/>
      <c r="I18" s="175"/>
      <c r="J18" s="175"/>
      <c r="K18" s="175"/>
      <c r="L18" s="175"/>
      <c r="M18" s="175"/>
      <c r="N18" s="175"/>
      <c r="O18" s="175"/>
      <c r="P18" s="175"/>
      <c r="Q18" s="162"/>
      <c r="S18" s="104"/>
      <c r="T18" s="105"/>
      <c r="U18" s="105"/>
      <c r="V18" s="105"/>
      <c r="W18" s="105"/>
      <c r="X18" s="105"/>
      <c r="Y18" s="106"/>
    </row>
    <row r="19" spans="2:25">
      <c r="B19" s="80"/>
      <c r="C19" s="65"/>
      <c r="D19" s="65"/>
      <c r="E19" s="65"/>
      <c r="F19" s="65"/>
      <c r="G19" s="175"/>
      <c r="H19" s="175"/>
      <c r="I19" s="175"/>
      <c r="J19" s="175"/>
      <c r="K19" s="175"/>
      <c r="L19" s="175"/>
      <c r="M19" s="175"/>
      <c r="N19" s="175"/>
      <c r="O19" s="175"/>
      <c r="P19" s="175"/>
      <c r="Q19" s="162"/>
      <c r="S19" s="104"/>
      <c r="T19" s="105"/>
      <c r="U19" s="105"/>
      <c r="V19" s="105"/>
      <c r="W19" s="105"/>
      <c r="X19" s="105"/>
      <c r="Y19" s="106"/>
    </row>
    <row r="20" spans="2:25">
      <c r="B20" s="80"/>
      <c r="C20" s="65"/>
      <c r="D20" s="65"/>
      <c r="E20" s="65"/>
      <c r="F20" s="65"/>
      <c r="G20" s="175"/>
      <c r="H20" s="175"/>
      <c r="I20" s="175"/>
      <c r="J20" s="175"/>
      <c r="K20" s="175"/>
      <c r="L20" s="175"/>
      <c r="M20" s="175"/>
      <c r="N20" s="175"/>
      <c r="O20" s="175"/>
      <c r="P20" s="175"/>
      <c r="Q20" s="162"/>
      <c r="S20" s="104"/>
      <c r="T20" s="105"/>
      <c r="U20" s="105"/>
      <c r="V20" s="105"/>
      <c r="W20" s="105"/>
      <c r="X20" s="105"/>
      <c r="Y20" s="106"/>
    </row>
    <row r="21" spans="2:25">
      <c r="B21" s="80"/>
      <c r="C21" s="65"/>
      <c r="D21" s="65"/>
      <c r="E21" s="65"/>
      <c r="F21" s="65"/>
      <c r="G21" s="175"/>
      <c r="H21" s="175"/>
      <c r="I21" s="175"/>
      <c r="J21" s="175"/>
      <c r="K21" s="175"/>
      <c r="L21" s="175"/>
      <c r="M21" s="175"/>
      <c r="N21" s="175"/>
      <c r="O21" s="175"/>
      <c r="P21" s="175"/>
      <c r="Q21" s="162"/>
      <c r="S21" s="104"/>
      <c r="T21" s="105"/>
      <c r="U21" s="105"/>
      <c r="V21" s="105"/>
      <c r="W21" s="105"/>
      <c r="X21" s="105"/>
      <c r="Y21" s="106"/>
    </row>
    <row r="22" spans="2:25">
      <c r="B22" s="80"/>
      <c r="C22" s="65"/>
      <c r="D22" s="65"/>
      <c r="E22" s="65"/>
      <c r="F22" s="65"/>
      <c r="G22" s="175"/>
      <c r="H22" s="175"/>
      <c r="I22" s="175"/>
      <c r="J22" s="175"/>
      <c r="K22" s="175"/>
      <c r="L22" s="175"/>
      <c r="M22" s="175"/>
      <c r="N22" s="175"/>
      <c r="O22" s="175"/>
      <c r="P22" s="175"/>
      <c r="Q22" s="162"/>
      <c r="S22" s="104"/>
      <c r="T22" s="105"/>
      <c r="U22" s="105"/>
      <c r="V22" s="105"/>
      <c r="W22" s="105"/>
      <c r="X22" s="105"/>
      <c r="Y22" s="106"/>
    </row>
    <row r="23" spans="2:25">
      <c r="B23" s="80"/>
      <c r="C23" s="65"/>
      <c r="D23" s="65"/>
      <c r="E23" s="65"/>
      <c r="F23" s="65"/>
      <c r="G23" s="175"/>
      <c r="H23" s="175"/>
      <c r="I23" s="175"/>
      <c r="J23" s="175"/>
      <c r="K23" s="175"/>
      <c r="L23" s="175"/>
      <c r="M23" s="175"/>
      <c r="N23" s="175"/>
      <c r="O23" s="175"/>
      <c r="P23" s="175"/>
      <c r="Q23" s="162"/>
      <c r="S23" s="104"/>
      <c r="T23" s="105"/>
      <c r="U23" s="105"/>
      <c r="V23" s="105"/>
      <c r="W23" s="105"/>
      <c r="X23" s="105"/>
      <c r="Y23" s="106"/>
    </row>
    <row r="24" spans="2:25">
      <c r="B24" s="80"/>
      <c r="C24" s="65"/>
      <c r="D24" s="65"/>
      <c r="E24" s="65"/>
      <c r="F24" s="65"/>
      <c r="G24" s="175"/>
      <c r="H24" s="175"/>
      <c r="I24" s="175"/>
      <c r="J24" s="175"/>
      <c r="K24" s="175"/>
      <c r="L24" s="175"/>
      <c r="M24" s="175"/>
      <c r="N24" s="175"/>
      <c r="O24" s="175"/>
      <c r="P24" s="175"/>
      <c r="Q24" s="162"/>
      <c r="S24" s="104"/>
      <c r="T24" s="105"/>
      <c r="U24" s="105"/>
      <c r="V24" s="105"/>
      <c r="W24" s="105"/>
      <c r="X24" s="105"/>
      <c r="Y24" s="106"/>
    </row>
    <row r="25" spans="2:25">
      <c r="B25" s="80"/>
      <c r="C25" s="65"/>
      <c r="D25" s="65"/>
      <c r="E25" s="65"/>
      <c r="F25" s="65"/>
      <c r="G25" s="175"/>
      <c r="H25" s="175"/>
      <c r="I25" s="175"/>
      <c r="J25" s="175"/>
      <c r="K25" s="175"/>
      <c r="L25" s="175"/>
      <c r="M25" s="175"/>
      <c r="N25" s="175"/>
      <c r="O25" s="175"/>
      <c r="P25" s="175"/>
      <c r="Q25" s="162"/>
      <c r="S25" s="104"/>
      <c r="T25" s="105"/>
      <c r="U25" s="105"/>
      <c r="V25" s="105"/>
      <c r="W25" s="105"/>
      <c r="X25" s="105"/>
      <c r="Y25" s="106"/>
    </row>
    <row r="26" spans="2:25">
      <c r="B26" s="80"/>
      <c r="C26" s="65"/>
      <c r="D26" s="65"/>
      <c r="E26" s="65"/>
      <c r="F26" s="65"/>
      <c r="G26" s="175"/>
      <c r="H26" s="175"/>
      <c r="I26" s="175"/>
      <c r="J26" s="175"/>
      <c r="K26" s="175"/>
      <c r="L26" s="175"/>
      <c r="M26" s="175"/>
      <c r="N26" s="175"/>
      <c r="O26" s="175"/>
      <c r="P26" s="175"/>
      <c r="Q26" s="162"/>
      <c r="S26" s="104"/>
      <c r="T26" s="105"/>
      <c r="U26" s="105"/>
      <c r="V26" s="105"/>
      <c r="W26" s="105"/>
      <c r="X26" s="105"/>
      <c r="Y26" s="106"/>
    </row>
    <row r="27" spans="2:25">
      <c r="B27" s="80"/>
      <c r="C27" s="65"/>
      <c r="D27" s="65"/>
      <c r="E27" s="65"/>
      <c r="F27" s="65"/>
      <c r="G27" s="175"/>
      <c r="H27" s="175"/>
      <c r="I27" s="175"/>
      <c r="J27" s="175"/>
      <c r="K27" s="175"/>
      <c r="L27" s="175"/>
      <c r="M27" s="175"/>
      <c r="N27" s="175"/>
      <c r="O27" s="175"/>
      <c r="P27" s="175"/>
      <c r="Q27" s="162"/>
      <c r="S27" s="104"/>
      <c r="T27" s="105"/>
      <c r="U27" s="105"/>
      <c r="V27" s="105"/>
      <c r="W27" s="105"/>
      <c r="X27" s="105"/>
      <c r="Y27" s="106"/>
    </row>
    <row r="28" spans="2:25">
      <c r="B28" s="80"/>
      <c r="C28" s="65"/>
      <c r="D28" s="65"/>
      <c r="E28" s="65"/>
      <c r="F28" s="65"/>
      <c r="G28" s="175"/>
      <c r="H28" s="175"/>
      <c r="I28" s="175"/>
      <c r="J28" s="175"/>
      <c r="K28" s="175"/>
      <c r="L28" s="175"/>
      <c r="M28" s="175"/>
      <c r="N28" s="175"/>
      <c r="O28" s="175"/>
      <c r="P28" s="175"/>
      <c r="Q28" s="162"/>
      <c r="S28" s="104"/>
      <c r="T28" s="105"/>
      <c r="U28" s="105"/>
      <c r="V28" s="105"/>
      <c r="W28" s="105"/>
      <c r="X28" s="105"/>
      <c r="Y28" s="106"/>
    </row>
    <row r="29" spans="2:25">
      <c r="B29" s="80"/>
      <c r="C29" s="65"/>
      <c r="D29" s="65"/>
      <c r="E29" s="65"/>
      <c r="F29" s="65"/>
      <c r="G29" s="175"/>
      <c r="H29" s="175"/>
      <c r="I29" s="175"/>
      <c r="J29" s="175"/>
      <c r="K29" s="175"/>
      <c r="L29" s="175"/>
      <c r="M29" s="175"/>
      <c r="N29" s="175"/>
      <c r="O29" s="175"/>
      <c r="P29" s="175"/>
      <c r="Q29" s="162"/>
      <c r="S29" s="104"/>
      <c r="T29" s="105"/>
      <c r="U29" s="105"/>
      <c r="V29" s="105"/>
      <c r="W29" s="105"/>
      <c r="X29" s="105"/>
      <c r="Y29" s="106"/>
    </row>
    <row r="30" spans="2:25">
      <c r="B30" s="80"/>
      <c r="C30" s="65"/>
      <c r="D30" s="65"/>
      <c r="E30" s="65"/>
      <c r="F30" s="65"/>
      <c r="G30" s="175"/>
      <c r="H30" s="175"/>
      <c r="I30" s="175"/>
      <c r="J30" s="175"/>
      <c r="K30" s="175"/>
      <c r="L30" s="175"/>
      <c r="M30" s="175"/>
      <c r="N30" s="175"/>
      <c r="O30" s="175"/>
      <c r="P30" s="175"/>
      <c r="Q30" s="162"/>
      <c r="S30" s="104"/>
      <c r="T30" s="105"/>
      <c r="U30" s="105"/>
      <c r="V30" s="105"/>
      <c r="W30" s="105"/>
      <c r="X30" s="105"/>
      <c r="Y30" s="106"/>
    </row>
    <row r="31" spans="2:25">
      <c r="B31" s="80"/>
      <c r="C31" s="65"/>
      <c r="D31" s="65"/>
      <c r="E31" s="65"/>
      <c r="F31" s="65"/>
      <c r="G31" s="175"/>
      <c r="H31" s="175"/>
      <c r="I31" s="175"/>
      <c r="J31" s="175"/>
      <c r="K31" s="175"/>
      <c r="L31" s="175"/>
      <c r="M31" s="175"/>
      <c r="N31" s="175"/>
      <c r="O31" s="175"/>
      <c r="P31" s="175"/>
      <c r="Q31" s="162"/>
      <c r="S31" s="104"/>
      <c r="T31" s="105"/>
      <c r="U31" s="105"/>
      <c r="V31" s="105"/>
      <c r="W31" s="105"/>
      <c r="X31" s="105"/>
      <c r="Y31" s="106"/>
    </row>
    <row r="32" spans="2:25">
      <c r="B32" s="80"/>
      <c r="C32" s="65"/>
      <c r="D32" s="65"/>
      <c r="E32" s="65"/>
      <c r="F32" s="65"/>
      <c r="G32" s="175"/>
      <c r="H32" s="175"/>
      <c r="I32" s="175"/>
      <c r="J32" s="175"/>
      <c r="K32" s="175"/>
      <c r="L32" s="175"/>
      <c r="M32" s="175"/>
      <c r="N32" s="175"/>
      <c r="O32" s="175"/>
      <c r="P32" s="175"/>
      <c r="Q32" s="162"/>
      <c r="S32" s="104"/>
      <c r="T32" s="105"/>
      <c r="U32" s="105"/>
      <c r="V32" s="105"/>
      <c r="W32" s="105"/>
      <c r="X32" s="105"/>
      <c r="Y32" s="106"/>
    </row>
    <row r="33" spans="2:25">
      <c r="B33" s="80"/>
      <c r="C33" s="65"/>
      <c r="D33" s="65"/>
      <c r="E33" s="65"/>
      <c r="F33" s="65"/>
      <c r="G33" s="175"/>
      <c r="H33" s="175"/>
      <c r="I33" s="175"/>
      <c r="J33" s="175"/>
      <c r="K33" s="175"/>
      <c r="L33" s="175"/>
      <c r="M33" s="175"/>
      <c r="N33" s="175"/>
      <c r="O33" s="175"/>
      <c r="P33" s="175"/>
      <c r="Q33" s="162"/>
      <c r="S33" s="104"/>
      <c r="T33" s="105"/>
      <c r="U33" s="105"/>
      <c r="V33" s="105"/>
      <c r="W33" s="105"/>
      <c r="X33" s="105"/>
      <c r="Y33" s="106"/>
    </row>
    <row r="34" spans="2:25">
      <c r="B34" s="80"/>
      <c r="C34" s="65"/>
      <c r="D34" s="65"/>
      <c r="E34" s="65"/>
      <c r="F34" s="65"/>
      <c r="G34" s="175"/>
      <c r="H34" s="175"/>
      <c r="I34" s="175"/>
      <c r="J34" s="175"/>
      <c r="K34" s="175"/>
      <c r="L34" s="175"/>
      <c r="M34" s="175"/>
      <c r="N34" s="175"/>
      <c r="O34" s="175"/>
      <c r="P34" s="175"/>
      <c r="Q34" s="162"/>
      <c r="S34" s="104"/>
      <c r="T34" s="105"/>
      <c r="U34" s="105"/>
      <c r="V34" s="105"/>
      <c r="W34" s="105"/>
      <c r="X34" s="105"/>
      <c r="Y34" s="106"/>
    </row>
    <row r="35" spans="2:25">
      <c r="B35" s="80"/>
      <c r="C35" s="65"/>
      <c r="D35" s="65"/>
      <c r="E35" s="65"/>
      <c r="F35" s="65"/>
      <c r="G35" s="175"/>
      <c r="H35" s="175"/>
      <c r="I35" s="175"/>
      <c r="J35" s="175"/>
      <c r="K35" s="175"/>
      <c r="L35" s="175"/>
      <c r="M35" s="175"/>
      <c r="N35" s="175"/>
      <c r="O35" s="175"/>
      <c r="P35" s="175"/>
      <c r="Q35" s="162"/>
      <c r="S35" s="104"/>
      <c r="T35" s="105"/>
      <c r="U35" s="105"/>
      <c r="V35" s="105"/>
      <c r="W35" s="105"/>
      <c r="X35" s="105"/>
      <c r="Y35" s="106"/>
    </row>
    <row r="36" spans="2:25">
      <c r="B36" s="80"/>
      <c r="C36" s="65"/>
      <c r="D36" s="65"/>
      <c r="E36" s="65"/>
      <c r="F36" s="65"/>
      <c r="G36" s="175"/>
      <c r="H36" s="175"/>
      <c r="I36" s="175"/>
      <c r="J36" s="175"/>
      <c r="K36" s="175"/>
      <c r="L36" s="175"/>
      <c r="M36" s="175"/>
      <c r="N36" s="175"/>
      <c r="O36" s="175"/>
      <c r="P36" s="175"/>
      <c r="Q36" s="162"/>
      <c r="S36" s="104"/>
      <c r="T36" s="105"/>
      <c r="U36" s="105"/>
      <c r="V36" s="105"/>
      <c r="W36" s="105"/>
      <c r="X36" s="105"/>
      <c r="Y36" s="106"/>
    </row>
    <row r="37" spans="2:25">
      <c r="B37" s="80"/>
      <c r="C37" s="65"/>
      <c r="D37" s="65"/>
      <c r="E37" s="65"/>
      <c r="F37" s="65"/>
      <c r="G37" s="175"/>
      <c r="H37" s="175"/>
      <c r="I37" s="175"/>
      <c r="J37" s="175"/>
      <c r="K37" s="175"/>
      <c r="L37" s="175"/>
      <c r="M37" s="175"/>
      <c r="N37" s="175"/>
      <c r="O37" s="175"/>
      <c r="P37" s="175"/>
      <c r="Q37" s="162"/>
      <c r="S37" s="104"/>
      <c r="T37" s="105"/>
      <c r="U37" s="105"/>
      <c r="V37" s="105"/>
      <c r="W37" s="105"/>
      <c r="X37" s="105"/>
      <c r="Y37" s="106"/>
    </row>
    <row r="38" spans="2:25">
      <c r="B38" s="80"/>
      <c r="C38" s="65"/>
      <c r="D38" s="65"/>
      <c r="E38" s="65"/>
      <c r="F38" s="65"/>
      <c r="G38" s="175"/>
      <c r="H38" s="175"/>
      <c r="I38" s="175"/>
      <c r="J38" s="175"/>
      <c r="K38" s="175"/>
      <c r="L38" s="175"/>
      <c r="M38" s="175"/>
      <c r="N38" s="175"/>
      <c r="O38" s="175"/>
      <c r="P38" s="175"/>
      <c r="Q38" s="162"/>
      <c r="S38" s="104"/>
      <c r="T38" s="105"/>
      <c r="U38" s="105"/>
      <c r="V38" s="105"/>
      <c r="W38" s="105"/>
      <c r="X38" s="105"/>
      <c r="Y38" s="106"/>
    </row>
    <row r="39" spans="2:25">
      <c r="B39" s="80"/>
      <c r="C39" s="65"/>
      <c r="D39" s="65"/>
      <c r="E39" s="65"/>
      <c r="F39" s="65"/>
      <c r="G39" s="175"/>
      <c r="H39" s="175"/>
      <c r="I39" s="175"/>
      <c r="J39" s="175"/>
      <c r="K39" s="175"/>
      <c r="L39" s="175"/>
      <c r="M39" s="175"/>
      <c r="N39" s="175"/>
      <c r="O39" s="175"/>
      <c r="P39" s="175"/>
      <c r="Q39" s="162"/>
      <c r="S39" s="104"/>
      <c r="T39" s="105"/>
      <c r="U39" s="105"/>
      <c r="V39" s="105"/>
      <c r="W39" s="105"/>
      <c r="X39" s="105"/>
      <c r="Y39" s="106"/>
    </row>
    <row r="40" spans="2:25">
      <c r="B40" s="80"/>
      <c r="C40" s="65"/>
      <c r="D40" s="65"/>
      <c r="E40" s="65"/>
      <c r="F40" s="65"/>
      <c r="G40" s="175"/>
      <c r="H40" s="175"/>
      <c r="I40" s="175"/>
      <c r="J40" s="175"/>
      <c r="K40" s="175"/>
      <c r="L40" s="175"/>
      <c r="M40" s="175"/>
      <c r="N40" s="175"/>
      <c r="O40" s="175"/>
      <c r="P40" s="175"/>
      <c r="Q40" s="162"/>
      <c r="S40" s="104"/>
      <c r="T40" s="105"/>
      <c r="U40" s="105"/>
      <c r="V40" s="105"/>
      <c r="W40" s="105"/>
      <c r="X40" s="105"/>
      <c r="Y40" s="106"/>
    </row>
    <row r="41" spans="2:25">
      <c r="B41" s="80"/>
      <c r="C41" s="65"/>
      <c r="D41" s="65"/>
      <c r="E41" s="65"/>
      <c r="F41" s="65"/>
      <c r="G41" s="175"/>
      <c r="H41" s="175"/>
      <c r="I41" s="175"/>
      <c r="J41" s="175"/>
      <c r="K41" s="175"/>
      <c r="L41" s="175"/>
      <c r="M41" s="175"/>
      <c r="N41" s="175"/>
      <c r="O41" s="175"/>
      <c r="P41" s="175"/>
      <c r="Q41" s="162"/>
      <c r="S41" s="104"/>
      <c r="T41" s="105"/>
      <c r="U41" s="105"/>
      <c r="V41" s="105"/>
      <c r="W41" s="105"/>
      <c r="X41" s="105"/>
      <c r="Y41" s="106"/>
    </row>
    <row r="42" spans="2:25">
      <c r="B42" s="80"/>
      <c r="C42" s="65"/>
      <c r="D42" s="65"/>
      <c r="E42" s="65"/>
      <c r="F42" s="65"/>
      <c r="G42" s="175"/>
      <c r="H42" s="175"/>
      <c r="I42" s="175"/>
      <c r="J42" s="175"/>
      <c r="K42" s="175"/>
      <c r="L42" s="175"/>
      <c r="M42" s="175"/>
      <c r="N42" s="175"/>
      <c r="O42" s="175"/>
      <c r="P42" s="175"/>
      <c r="Q42" s="162"/>
      <c r="S42" s="104"/>
      <c r="T42" s="105"/>
      <c r="U42" s="105"/>
      <c r="V42" s="105"/>
      <c r="W42" s="105"/>
      <c r="X42" s="105"/>
      <c r="Y42" s="106"/>
    </row>
    <row r="43" spans="2:25">
      <c r="B43" s="80"/>
      <c r="C43" s="65"/>
      <c r="D43" s="65"/>
      <c r="E43" s="65"/>
      <c r="F43" s="65"/>
      <c r="G43" s="175"/>
      <c r="H43" s="175"/>
      <c r="I43" s="175"/>
      <c r="J43" s="175"/>
      <c r="K43" s="175"/>
      <c r="L43" s="175"/>
      <c r="M43" s="175"/>
      <c r="N43" s="175"/>
      <c r="O43" s="175"/>
      <c r="P43" s="175"/>
      <c r="Q43" s="162"/>
      <c r="S43" s="104"/>
      <c r="T43" s="105"/>
      <c r="U43" s="105"/>
      <c r="V43" s="105"/>
      <c r="W43" s="105"/>
      <c r="X43" s="105"/>
      <c r="Y43" s="106"/>
    </row>
    <row r="44" spans="2:25">
      <c r="B44" s="80"/>
      <c r="C44" s="65"/>
      <c r="D44" s="65"/>
      <c r="E44" s="65"/>
      <c r="F44" s="65"/>
      <c r="G44" s="175"/>
      <c r="H44" s="175"/>
      <c r="I44" s="175"/>
      <c r="J44" s="175"/>
      <c r="K44" s="175"/>
      <c r="L44" s="175"/>
      <c r="M44" s="175"/>
      <c r="N44" s="175"/>
      <c r="O44" s="175"/>
      <c r="P44" s="175"/>
      <c r="Q44" s="162"/>
      <c r="S44" s="104"/>
      <c r="T44" s="105"/>
      <c r="U44" s="105"/>
      <c r="V44" s="105"/>
      <c r="W44" s="105"/>
      <c r="X44" s="105"/>
      <c r="Y44" s="106"/>
    </row>
    <row r="45" spans="2:25">
      <c r="B45" s="80"/>
      <c r="C45" s="65"/>
      <c r="D45" s="65"/>
      <c r="E45" s="65"/>
      <c r="F45" s="65"/>
      <c r="G45" s="175"/>
      <c r="H45" s="175"/>
      <c r="I45" s="175"/>
      <c r="J45" s="175"/>
      <c r="K45" s="175"/>
      <c r="L45" s="175"/>
      <c r="M45" s="175"/>
      <c r="N45" s="175"/>
      <c r="O45" s="175"/>
      <c r="P45" s="175"/>
      <c r="Q45" s="162"/>
      <c r="S45" s="104"/>
      <c r="T45" s="105"/>
      <c r="U45" s="105"/>
      <c r="V45" s="105"/>
      <c r="W45" s="105"/>
      <c r="X45" s="105"/>
      <c r="Y45" s="106"/>
    </row>
    <row r="46" spans="2:25">
      <c r="B46" s="80"/>
      <c r="C46" s="65"/>
      <c r="D46" s="65"/>
      <c r="E46" s="65"/>
      <c r="F46" s="65"/>
      <c r="G46" s="175"/>
      <c r="H46" s="175"/>
      <c r="I46" s="175"/>
      <c r="J46" s="175"/>
      <c r="K46" s="175"/>
      <c r="L46" s="175"/>
      <c r="M46" s="175"/>
      <c r="N46" s="175"/>
      <c r="O46" s="175"/>
      <c r="P46" s="175"/>
      <c r="Q46" s="162"/>
      <c r="S46" s="104"/>
      <c r="T46" s="105"/>
      <c r="U46" s="105"/>
      <c r="V46" s="105"/>
      <c r="W46" s="105"/>
      <c r="X46" s="105"/>
      <c r="Y46" s="106"/>
    </row>
    <row r="47" spans="2:25">
      <c r="B47" s="80"/>
      <c r="C47" s="65"/>
      <c r="D47" s="65"/>
      <c r="E47" s="65"/>
      <c r="F47" s="65"/>
      <c r="G47" s="175"/>
      <c r="H47" s="175"/>
      <c r="I47" s="175"/>
      <c r="J47" s="175"/>
      <c r="K47" s="175"/>
      <c r="L47" s="175"/>
      <c r="M47" s="175"/>
      <c r="N47" s="175"/>
      <c r="O47" s="175"/>
      <c r="P47" s="175"/>
      <c r="Q47" s="162"/>
      <c r="S47" s="104"/>
      <c r="T47" s="105"/>
      <c r="U47" s="105"/>
      <c r="V47" s="105"/>
      <c r="W47" s="105"/>
      <c r="X47" s="105"/>
      <c r="Y47" s="106"/>
    </row>
    <row r="48" spans="2:25">
      <c r="B48" s="80"/>
      <c r="C48" s="65"/>
      <c r="D48" s="65"/>
      <c r="E48" s="65"/>
      <c r="F48" s="65"/>
      <c r="G48" s="175"/>
      <c r="H48" s="175"/>
      <c r="I48" s="175"/>
      <c r="J48" s="175"/>
      <c r="K48" s="175"/>
      <c r="L48" s="175"/>
      <c r="M48" s="175"/>
      <c r="N48" s="175"/>
      <c r="O48" s="175"/>
      <c r="P48" s="175"/>
      <c r="Q48" s="162"/>
      <c r="S48" s="104"/>
      <c r="T48" s="105"/>
      <c r="U48" s="105"/>
      <c r="V48" s="105"/>
      <c r="W48" s="105"/>
      <c r="X48" s="105"/>
      <c r="Y48" s="106"/>
    </row>
    <row r="49" spans="2:25">
      <c r="B49" s="80"/>
      <c r="C49" s="65"/>
      <c r="D49" s="65"/>
      <c r="E49" s="65"/>
      <c r="F49" s="65"/>
      <c r="G49" s="175"/>
      <c r="H49" s="175"/>
      <c r="I49" s="175"/>
      <c r="J49" s="175"/>
      <c r="K49" s="175"/>
      <c r="L49" s="175"/>
      <c r="M49" s="175"/>
      <c r="N49" s="175"/>
      <c r="O49" s="175"/>
      <c r="P49" s="175"/>
      <c r="Q49" s="162"/>
      <c r="S49" s="104"/>
      <c r="T49" s="105"/>
      <c r="U49" s="105"/>
      <c r="V49" s="105"/>
      <c r="W49" s="105"/>
      <c r="X49" s="105"/>
      <c r="Y49" s="106"/>
    </row>
    <row r="50" spans="2:25">
      <c r="B50" s="80"/>
      <c r="C50" s="65"/>
      <c r="D50" s="65"/>
      <c r="E50" s="65"/>
      <c r="F50" s="65"/>
      <c r="G50" s="175"/>
      <c r="H50" s="175"/>
      <c r="I50" s="175"/>
      <c r="J50" s="175"/>
      <c r="K50" s="175"/>
      <c r="L50" s="175"/>
      <c r="M50" s="175"/>
      <c r="N50" s="175"/>
      <c r="O50" s="175"/>
      <c r="P50" s="175"/>
      <c r="Q50" s="162"/>
      <c r="S50" s="104"/>
      <c r="T50" s="105"/>
      <c r="U50" s="105"/>
      <c r="V50" s="105"/>
      <c r="W50" s="105"/>
      <c r="X50" s="105"/>
      <c r="Y50" s="106"/>
    </row>
    <row r="51" spans="2:25">
      <c r="B51" s="80"/>
      <c r="C51" s="65"/>
      <c r="D51" s="65"/>
      <c r="E51" s="65"/>
      <c r="F51" s="65"/>
      <c r="G51" s="175"/>
      <c r="H51" s="175"/>
      <c r="I51" s="175"/>
      <c r="J51" s="175"/>
      <c r="K51" s="175"/>
      <c r="L51" s="175"/>
      <c r="M51" s="175"/>
      <c r="N51" s="175"/>
      <c r="O51" s="175"/>
      <c r="P51" s="175"/>
      <c r="Q51" s="162"/>
      <c r="S51" s="104"/>
      <c r="T51" s="105"/>
      <c r="U51" s="105"/>
      <c r="V51" s="105"/>
      <c r="W51" s="105"/>
      <c r="X51" s="105"/>
      <c r="Y51" s="106"/>
    </row>
    <row r="52" spans="2:25">
      <c r="B52" s="80"/>
      <c r="C52" s="65"/>
      <c r="D52" s="65"/>
      <c r="E52" s="65"/>
      <c r="F52" s="65"/>
      <c r="G52" s="175"/>
      <c r="H52" s="175"/>
      <c r="I52" s="175"/>
      <c r="J52" s="175"/>
      <c r="K52" s="175"/>
      <c r="L52" s="175"/>
      <c r="M52" s="175"/>
      <c r="N52" s="175"/>
      <c r="O52" s="175"/>
      <c r="P52" s="175"/>
      <c r="Q52" s="162"/>
      <c r="S52" s="104"/>
      <c r="T52" s="105"/>
      <c r="U52" s="105"/>
      <c r="V52" s="105"/>
      <c r="W52" s="105"/>
      <c r="X52" s="105"/>
      <c r="Y52" s="106"/>
    </row>
    <row r="53" spans="2:25">
      <c r="B53" s="80"/>
      <c r="C53" s="65"/>
      <c r="D53" s="65"/>
      <c r="E53" s="65"/>
      <c r="F53" s="65"/>
      <c r="G53" s="175"/>
      <c r="H53" s="175"/>
      <c r="I53" s="175"/>
      <c r="J53" s="175"/>
      <c r="K53" s="175"/>
      <c r="L53" s="175"/>
      <c r="M53" s="175"/>
      <c r="N53" s="175"/>
      <c r="O53" s="175"/>
      <c r="P53" s="175"/>
      <c r="Q53" s="162"/>
      <c r="S53" s="104"/>
      <c r="T53" s="105"/>
      <c r="U53" s="105"/>
      <c r="V53" s="105"/>
      <c r="W53" s="105"/>
      <c r="X53" s="105"/>
      <c r="Y53" s="106"/>
    </row>
    <row r="54" spans="2:25">
      <c r="B54" s="80"/>
      <c r="C54" s="65"/>
      <c r="D54" s="65"/>
      <c r="E54" s="65"/>
      <c r="F54" s="65"/>
      <c r="G54" s="175"/>
      <c r="H54" s="175"/>
      <c r="I54" s="175"/>
      <c r="J54" s="175"/>
      <c r="K54" s="175"/>
      <c r="L54" s="175"/>
      <c r="M54" s="175"/>
      <c r="N54" s="175"/>
      <c r="O54" s="175"/>
      <c r="P54" s="175"/>
      <c r="Q54" s="162"/>
      <c r="S54" s="104"/>
      <c r="T54" s="105"/>
      <c r="U54" s="105"/>
      <c r="V54" s="105"/>
      <c r="W54" s="105"/>
      <c r="X54" s="105"/>
      <c r="Y54" s="106"/>
    </row>
    <row r="55" spans="2:25">
      <c r="B55" s="80"/>
      <c r="C55" s="65"/>
      <c r="D55" s="65"/>
      <c r="E55" s="65"/>
      <c r="F55" s="65"/>
      <c r="G55" s="175"/>
      <c r="H55" s="175"/>
      <c r="I55" s="175"/>
      <c r="J55" s="175"/>
      <c r="K55" s="175"/>
      <c r="L55" s="175"/>
      <c r="M55" s="175"/>
      <c r="N55" s="175"/>
      <c r="O55" s="175"/>
      <c r="P55" s="175"/>
      <c r="Q55" s="162"/>
      <c r="S55" s="104"/>
      <c r="T55" s="105"/>
      <c r="U55" s="105"/>
      <c r="V55" s="105"/>
      <c r="W55" s="105"/>
      <c r="X55" s="105"/>
      <c r="Y55" s="106"/>
    </row>
    <row r="56" spans="2:25">
      <c r="B56" s="80"/>
      <c r="C56" s="65"/>
      <c r="D56" s="65"/>
      <c r="E56" s="65"/>
      <c r="F56" s="65"/>
      <c r="G56" s="175"/>
      <c r="H56" s="175"/>
      <c r="I56" s="175"/>
      <c r="J56" s="175"/>
      <c r="K56" s="175"/>
      <c r="L56" s="175"/>
      <c r="M56" s="175"/>
      <c r="N56" s="175"/>
      <c r="O56" s="175"/>
      <c r="P56" s="175"/>
      <c r="Q56" s="162"/>
      <c r="S56" s="104"/>
      <c r="T56" s="105"/>
      <c r="U56" s="105"/>
      <c r="V56" s="105"/>
      <c r="W56" s="105"/>
      <c r="X56" s="105"/>
      <c r="Y56" s="106"/>
    </row>
    <row r="57" spans="2:25">
      <c r="B57" s="80"/>
      <c r="C57" s="65"/>
      <c r="D57" s="65"/>
      <c r="E57" s="65"/>
      <c r="F57" s="65"/>
      <c r="G57" s="175"/>
      <c r="H57" s="175"/>
      <c r="I57" s="175"/>
      <c r="J57" s="175"/>
      <c r="K57" s="175"/>
      <c r="L57" s="175"/>
      <c r="M57" s="175"/>
      <c r="N57" s="175"/>
      <c r="O57" s="175"/>
      <c r="P57" s="175"/>
      <c r="Q57" s="162"/>
      <c r="S57" s="104"/>
      <c r="T57" s="105"/>
      <c r="U57" s="105"/>
      <c r="V57" s="105"/>
      <c r="W57" s="105"/>
      <c r="X57" s="105"/>
      <c r="Y57" s="106"/>
    </row>
    <row r="58" spans="2:25">
      <c r="B58" s="80"/>
      <c r="C58" s="65"/>
      <c r="D58" s="65"/>
      <c r="E58" s="65"/>
      <c r="F58" s="65"/>
      <c r="G58" s="175"/>
      <c r="H58" s="175"/>
      <c r="I58" s="175"/>
      <c r="J58" s="175"/>
      <c r="K58" s="175"/>
      <c r="L58" s="175"/>
      <c r="M58" s="175"/>
      <c r="N58" s="175"/>
      <c r="O58" s="175"/>
      <c r="P58" s="175"/>
      <c r="Q58" s="162"/>
      <c r="S58" s="104"/>
      <c r="T58" s="105"/>
      <c r="U58" s="105"/>
      <c r="V58" s="105"/>
      <c r="W58" s="105"/>
      <c r="X58" s="105"/>
      <c r="Y58" s="106"/>
    </row>
    <row r="59" spans="2:25">
      <c r="B59" s="80"/>
      <c r="C59" s="65"/>
      <c r="D59" s="65"/>
      <c r="E59" s="65"/>
      <c r="F59" s="65"/>
      <c r="G59" s="175"/>
      <c r="H59" s="175"/>
      <c r="I59" s="175"/>
      <c r="J59" s="175"/>
      <c r="K59" s="175"/>
      <c r="L59" s="175"/>
      <c r="M59" s="175"/>
      <c r="N59" s="175"/>
      <c r="O59" s="175"/>
      <c r="P59" s="175"/>
      <c r="Q59" s="162"/>
      <c r="S59" s="104"/>
      <c r="T59" s="105"/>
      <c r="U59" s="105"/>
      <c r="V59" s="105"/>
      <c r="W59" s="105"/>
      <c r="X59" s="105"/>
      <c r="Y59" s="106"/>
    </row>
    <row r="60" spans="2:25">
      <c r="B60" s="80"/>
      <c r="C60" s="65"/>
      <c r="D60" s="65"/>
      <c r="E60" s="65"/>
      <c r="F60" s="65"/>
      <c r="G60" s="175"/>
      <c r="H60" s="175"/>
      <c r="I60" s="175"/>
      <c r="J60" s="175"/>
      <c r="K60" s="175"/>
      <c r="L60" s="175"/>
      <c r="M60" s="175"/>
      <c r="N60" s="175"/>
      <c r="O60" s="175"/>
      <c r="P60" s="175"/>
      <c r="Q60" s="162"/>
      <c r="S60" s="104"/>
      <c r="T60" s="105"/>
      <c r="U60" s="105"/>
      <c r="V60" s="105"/>
      <c r="W60" s="105"/>
      <c r="X60" s="105"/>
      <c r="Y60" s="106"/>
    </row>
    <row r="61" spans="2:25">
      <c r="B61" s="80"/>
      <c r="C61" s="65"/>
      <c r="D61" s="65"/>
      <c r="E61" s="65"/>
      <c r="F61" s="65"/>
      <c r="G61" s="175"/>
      <c r="H61" s="175"/>
      <c r="I61" s="175"/>
      <c r="J61" s="175"/>
      <c r="K61" s="175"/>
      <c r="L61" s="175"/>
      <c r="M61" s="175"/>
      <c r="N61" s="175"/>
      <c r="O61" s="175"/>
      <c r="P61" s="175"/>
      <c r="Q61" s="162"/>
      <c r="S61" s="104"/>
      <c r="T61" s="105"/>
      <c r="U61" s="105"/>
      <c r="V61" s="105"/>
      <c r="W61" s="105"/>
      <c r="X61" s="105"/>
      <c r="Y61" s="106"/>
    </row>
    <row r="62" spans="2:25">
      <c r="S62" s="104"/>
      <c r="T62" s="105"/>
      <c r="U62" s="105"/>
      <c r="V62" s="105"/>
      <c r="W62" s="105"/>
      <c r="X62" s="105"/>
      <c r="Y62" s="106"/>
    </row>
    <row r="63" spans="2:25">
      <c r="S63" s="107"/>
      <c r="T63" s="108"/>
      <c r="U63" s="108"/>
      <c r="V63" s="108"/>
      <c r="W63" s="108"/>
      <c r="X63" s="108"/>
      <c r="Y63" s="109"/>
    </row>
  </sheetData>
  <mergeCells count="14">
    <mergeCell ref="B7:C7"/>
    <mergeCell ref="B8:C8"/>
    <mergeCell ref="D8:F8"/>
    <mergeCell ref="S10:Y10"/>
    <mergeCell ref="B3:C3"/>
    <mergeCell ref="T3:Y3"/>
    <mergeCell ref="B4:C4"/>
    <mergeCell ref="T4:Y4"/>
    <mergeCell ref="B5:C5"/>
    <mergeCell ref="G5:G8"/>
    <mergeCell ref="H5:J8"/>
    <mergeCell ref="S5:S8"/>
    <mergeCell ref="T5:Y8"/>
    <mergeCell ref="B6:C6"/>
  </mergeCells>
  <phoneticPr fontId="1"/>
  <conditionalFormatting sqref="F3:G3">
    <cfRule type="cellIs" dxfId="1" priority="2" operator="equal">
      <formula>"マスタデータ"</formula>
    </cfRule>
  </conditionalFormatting>
  <conditionalFormatting sqref="S3">
    <cfRule type="cellIs" dxfId="0" priority="1" operator="equal">
      <formula>"マスタデータ"</formula>
    </cfRule>
  </conditionalFormatting>
  <dataValidations count="16">
    <dataValidation type="list" allowBlank="1" showInputMessage="1" showErrorMessage="1" sqref="G12:G61" xr:uid="{957A99FE-461B-184E-8E7B-7EE128633FD4}">
      <formula1>"1,2,3,4,5"</formula1>
    </dataValidation>
    <dataValidation allowBlank="1" showInputMessage="1" showErrorMessage="1" prompt="インデックスの指定は最大10個まで対応しています。" sqref="Q12:Q61" xr:uid="{BC1CC9A6-C554-6343-BE6F-7D37A8A26455}"/>
    <dataValidation allowBlank="1" showInputMessage="1" showErrorMessage="1" promptTitle="物理テーブル名の入力ルール" prompt="先頭4文字は、必ず「アルファベット1文字」「数字3桁」で入力してください。_x000a_例）「m001_usr_masters」_x000a_理由）出力時のシート名で利用、かつインデックスの識別子（一部）に利用します。" sqref="D6" xr:uid="{4916467A-89B3-D84F-8CAD-785730029E8A}"/>
    <dataValidation type="list" allowBlank="1" showInputMessage="1" showErrorMessage="1" prompt="インデックスの指定は最大10個まで対応しています。" sqref="N12:P61" xr:uid="{6993CFCC-9993-3246-B2EA-DCD799C2C6B5}">
      <formula1>"1,2,3,4,5,6,7,8,9,10"</formula1>
    </dataValidation>
    <dataValidation type="list" allowBlank="1" showInputMessage="1" showErrorMessage="1" sqref="M12:M61" xr:uid="{7CDEA137-0F1F-4B4B-94FD-22995C5C5045}">
      <formula1>"ZEROFILL"</formula1>
    </dataValidation>
    <dataValidation type="list" allowBlank="1" showInputMessage="1" showErrorMessage="1" sqref="L12:L61" xr:uid="{A2A4834A-40BD-444B-B515-5E15044D1B35}">
      <formula1>"UNSIGNED"</formula1>
    </dataValidation>
    <dataValidation imeMode="halfAlpha" allowBlank="1" showInputMessage="1" showErrorMessage="1" sqref="K12:K61" xr:uid="{337970B9-4FA9-2A46-AA34-55DDB137A18F}"/>
    <dataValidation type="list" allowBlank="1" showInputMessage="1" showErrorMessage="1" sqref="J12:J61" xr:uid="{FF1E3317-4547-3349-911B-83E979D35108}">
      <formula1>"NOT NULL"</formula1>
    </dataValidation>
    <dataValidation type="list" allowBlank="1" showInputMessage="1" showErrorMessage="1" promptTitle="主キー（または複合主キー）の入力" prompt="主キーの場合は「1」を入力、_x000a_複合主キーの場合は 1〜5までの数字で入力してください。" sqref="G12:G61" xr:uid="{20AF25A5-3FDC-644F-8A4F-A8F586CD0DBE}">
      <formula1>"1,2,3,4,5"</formula1>
    </dataValidation>
    <dataValidation type="list" allowBlank="1" showInputMessage="1" showErrorMessage="1" sqref="F6" xr:uid="{ECF64B15-62CA-7B49-B382-3A85145EC289}">
      <formula1>ENGINE</formula1>
    </dataValidation>
    <dataValidation type="list" allowBlank="1" showInputMessage="1" showErrorMessage="1" sqref="F7" xr:uid="{BF9E2487-D210-AB42-839C-D1CE41ABEBB2}">
      <formula1>Charset_List</formula1>
    </dataValidation>
    <dataValidation type="list" allowBlank="1" showInputMessage="1" showErrorMessage="1" sqref="F5" xr:uid="{6820B133-CEA3-894C-80F7-B93D64E54E19}">
      <formula1>MySQL_Ver</formula1>
    </dataValidation>
    <dataValidation type="list" allowBlank="1" showInputMessage="1" showErrorMessage="1" prompt="型分類を選択してから、データ型を選択してください。" sqref="F12:F61" xr:uid="{DFD68BD0-9956-1B4E-B357-5A4401B76D1E}">
      <formula1>INDIRECT($E12)</formula1>
    </dataValidation>
    <dataValidation type="list" allowBlank="1" showInputMessage="1" showErrorMessage="1" sqref="E12:E61" xr:uid="{45011854-2202-AE44-A9FA-EBEDD81B22E9}">
      <formula1>DataTypeCategory</formula1>
    </dataValidation>
    <dataValidation type="list" allowBlank="1" showInputMessage="1" showErrorMessage="1" sqref="F4" xr:uid="{5A8B2724-AE17-9B48-A870-8C300CA1DB98}">
      <formula1>"TEMPORARY TABLE, TABLE"</formula1>
    </dataValidation>
    <dataValidation type="list" allowBlank="1" showInputMessage="1" showErrorMessage="1" sqref="F3" xr:uid="{CCC1C429-7011-1842-90C6-DACDC803F976}">
      <formula1>"マスタデータ,トランザクションデータ"</formula1>
    </dataValidation>
  </dataValidation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reateSQL_ButtonClick">
                <anchor moveWithCells="1">
                  <from>
                    <xdr:col>10</xdr:col>
                    <xdr:colOff>292100</xdr:colOff>
                    <xdr:row>2</xdr:row>
                    <xdr:rowOff>0</xdr:rowOff>
                  </from>
                  <to>
                    <xdr:col>15</xdr:col>
                    <xdr:colOff>114300</xdr:colOff>
                    <xdr:row>8</xdr:row>
                    <xdr:rowOff>0</xdr:rowOff>
                  </to>
                </anchor>
              </controlPr>
            </control>
          </mc:Choice>
        </mc:AlternateContent>
        <mc:AlternateContent xmlns:mc="http://schemas.openxmlformats.org/markup-compatibility/2006">
          <mc:Choice Requires="x14">
            <control shapeId="2050" r:id="rId4" name="Button 2">
              <controlPr defaultSize="0" print="0" autoFill="0" autoPict="0" macro="[0]!CopyCreateSQL_ButtonClick">
                <anchor moveWithCells="1">
                  <from>
                    <xdr:col>25</xdr:col>
                    <xdr:colOff>292100</xdr:colOff>
                    <xdr:row>9</xdr:row>
                    <xdr:rowOff>0</xdr:rowOff>
                  </from>
                  <to>
                    <xdr:col>27</xdr:col>
                    <xdr:colOff>584200</xdr:colOff>
                    <xdr:row>11</xdr:row>
                    <xdr:rowOff>0</xdr:rowOff>
                  </to>
                </anchor>
              </controlPr>
            </control>
          </mc:Choice>
        </mc:AlternateContent>
        <mc:AlternateContent xmlns:mc="http://schemas.openxmlformats.org/markup-compatibility/2006">
          <mc:Choice Requires="x14">
            <control shapeId="2051" r:id="rId5" name="Button 3">
              <controlPr defaultSize="0" print="0" autoFill="0" autoPict="0" macro="[0]!BackInputForm_ButtonClick">
                <anchor moveWithCells="1">
                  <from>
                    <xdr:col>25</xdr:col>
                    <xdr:colOff>292100</xdr:colOff>
                    <xdr:row>4</xdr:row>
                    <xdr:rowOff>0</xdr:rowOff>
                  </from>
                  <to>
                    <xdr:col>27</xdr:col>
                    <xdr:colOff>584200</xdr:colOff>
                    <xdr:row>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仕様</vt:lpstr>
      <vt:lpstr>型</vt:lpstr>
      <vt:lpstr>例</vt:lpstr>
      <vt:lpstr>users</vt:lpstr>
      <vt:lpstr>store_reviews</vt:lpstr>
      <vt:lpstr>experience</vt:lpstr>
      <vt:lpstr>Template</vt:lpstr>
      <vt:lpstr>Charset_List</vt:lpstr>
      <vt:lpstr>DataTypeCategory</vt:lpstr>
      <vt:lpstr>ENGINE</vt:lpstr>
      <vt:lpstr>MySQL_Ver</vt:lpstr>
      <vt:lpstr>数値型</vt:lpstr>
      <vt:lpstr>日付・時間型</vt:lpstr>
      <vt:lpstr>文字列型</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yoko watanabe</dc:creator>
  <cp:keywords/>
  <dc:description/>
  <cp:lastModifiedBy>細谷 祐太</cp:lastModifiedBy>
  <cp:revision/>
  <dcterms:created xsi:type="dcterms:W3CDTF">2019-01-10T07:56:30Z</dcterms:created>
  <dcterms:modified xsi:type="dcterms:W3CDTF">2022-05-08T04:59:37Z</dcterms:modified>
  <cp:category/>
  <cp:contentStatus/>
</cp:coreProperties>
</file>